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ystem Prompt" sheetId="2" state="visible" r:id="rId4"/>
    <sheet name="Image Prompt" sheetId="3" state="visible" r:id="rId5"/>
    <sheet name="Content Calendar" sheetId="4" state="visible" r:id="rId6"/>
    <sheet name="Production Tracker" sheetId="5" state="visible" r:id="rId7"/>
    <sheet name="Performance" sheetId="6" state="visible" r:id="rId8"/>
    <sheet name="Title Bank"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<sst xmlns="http://schemas.openxmlformats.org/spreadsheetml/2006/main" count="266" uniqueCount="228">
  <si>
    <t xml:space="preserve">FINANCIAL RUIN — 2 Month Content Plan</t>
  </si>
  <si>
    <t xml:space="preserve">8 weeks · 1 long-form + 3 shorts per week · 32 assets total</t>
  </si>
  <si>
    <t xml:space="preserve">HOW TO USE</t>
  </si>
  <si>
    <t xml:space="preserve">Content Calendar</t>
  </si>
  <si>
    <t xml:space="preserve">The plan. Pick the week, copy the LONG TITLE, paste it into the DeepSeek prompt template. That is the whole workflow.</t>
  </si>
  <si>
    <t xml:space="preserve">Production Tracker</t>
  </si>
  <si>
    <t xml:space="preserve">Maryam's screen. One row per asset. She marks each stage Done as she goes. Titles pull automatically from the Calendar.</t>
  </si>
  <si>
    <t xml:space="preserve">Performance</t>
  </si>
  <si>
    <t xml:space="preserve">Fill in views + RPM after publishing. Yellow cells only. It works out revenue and how far you are from $100/day.</t>
  </si>
  <si>
    <t xml:space="preserve">Title Bank</t>
  </si>
  <si>
    <t xml:space="preserve">Spare titles for month 3 onward, plus the rules for writing your own.</t>
  </si>
  <si>
    <t xml:space="preserve">WEEKLY RHYTHM</t>
  </si>
  <si>
    <t xml:space="preserve">Monday</t>
  </si>
  <si>
    <t xml:space="preserve">Long-form goes live (12-16 min).</t>
  </si>
  <si>
    <t xml:space="preserve">Wednesday</t>
  </si>
  <si>
    <t xml:space="preserve">Short 1.</t>
  </si>
  <si>
    <t xml:space="preserve">Friday</t>
  </si>
  <si>
    <t xml:space="preserve">Short 2.</t>
  </si>
  <si>
    <t xml:space="preserve">Sunday</t>
  </si>
  <si>
    <t xml:space="preserve">Short 3.</t>
  </si>
  <si>
    <t xml:space="preserve">Shorts are cut from the long video's own images and audio. No new production. Each short is one self-contained beat, not a trailer.</t>
  </si>
  <si>
    <t xml:space="preserve">THE STRUCTURE VARIANT COLUMN</t>
  </si>
  <si>
    <t xml:space="preserve">Why it exists</t>
  </si>
  <si>
    <t xml:space="preserve">This is the single most important column in the file. YouTube's inauthentic-content policy targets template + low variation + replicable at scale. Eight identical scripts is the pattern that gets a channel demonetized.</t>
  </si>
  <si>
    <t xml:space="preserve">Rule</t>
  </si>
  <si>
    <t xml:space="preserve">Never use the same variant twice in a row. The Calendar already alternates all eight for you. If you swap a title, swap the variant with it.</t>
  </si>
  <si>
    <t xml:space="preserve">THE MECHANISM SECTION</t>
  </si>
  <si>
    <t xml:space="preserve">Never skip it</t>
  </si>
  <si>
    <t xml:space="preserve">The last 2 minutes of every long video explain how the scheme worked and the 3 signals people missed. That section is your original value. Without it the video is a slideshow. With it, it is analysis.</t>
  </si>
  <si>
    <t xml:space="preserve">SOURCING</t>
  </si>
  <si>
    <t xml:space="preserve">Use publicly documented cases only — court records, DOJ / SEC / FTC press releases, state AG filings, local news archives. Never let the model invent a case and present it as real.</t>
  </si>
  <si>
    <t xml:space="preserve">If composite</t>
  </si>
  <si>
    <t xml:space="preserve">Say so on screen and in the description: 'A composite of documented cases. Names and details changed.' Then you are safe and honest at the same time.</t>
  </si>
  <si>
    <t xml:space="preserve">Never</t>
  </si>
  <si>
    <t xml:space="preserve">Do not name anyone who was not convicted or did not settle publicly. Do not accuse. Describe what the record says.</t>
  </si>
  <si>
    <t xml:space="preserve">DISCLOSURE</t>
  </si>
  <si>
    <t xml:space="preserve">At upload</t>
  </si>
  <si>
    <t xml:space="preserve">Tick 'Altered or synthetic content' in YouTube Studio. AI images of realistic scenes require it. Disclosing does not reduce your reach or your RPM — not disclosing costs you the channel.</t>
  </si>
  <si>
    <t xml:space="preserve">THE THREE STEPS</t>
  </si>
  <si>
    <t xml:space="preserve">Step 1</t>
  </si>
  <si>
    <t xml:space="preserve">Open Content Calendar. Copy the green USER PROMPT cell for this week.</t>
  </si>
  <si>
    <t xml:space="preserve">Step 2</t>
  </si>
  <si>
    <t xml:space="preserve">New DeepSeek chat. Paste the System Prompt tab first. Then paste the green cell. You get the script, plain paragraphs, nothing else.</t>
  </si>
  <si>
    <t xml:space="preserve">Step 3</t>
  </si>
  <si>
    <t xml:space="preserve">New chat. Paste the Image Prompt tab, then paste the script into it. You get eighteen image prompts. Both go on Maryam's page.</t>
  </si>
  <si>
    <t xml:space="preserve">WHAT IS FIXED AND WHAT IS NOT</t>
  </si>
  <si>
    <t xml:space="preserve">Fixed</t>
  </si>
  <si>
    <t xml:space="preserve">Mode and sourcing rules live inside the System Prompt. You never touch them.</t>
  </si>
  <si>
    <t xml:space="preserve">Not fixed</t>
  </si>
  <si>
    <t xml:space="preserve">The STRUCTURE line changes every week and it is already written into the green cell. Do not make all eight the same. That sameness is what gets channels demonetized.</t>
  </si>
  <si>
    <t xml:space="preserve">SYSTEM PROMPT — paste this once, as the first message</t>
  </si>
  <si>
    <t xml:space="preserve">New chat for every video. System prompt first, then the USER PROMPT cell from the Content Calendar.</t>
  </si>
  <si>
    <t xml:space="preserve">You are the head writer for "The Ledger", a documentary channel about money crime. You write for a single narrator: a middle-aged American man with a quiet, unhurried delivery. He is not angry. He is not shocked. He has read the case file and he is telling you what is in it.
Your script is read aloud by a text-to-speech engine and played over still photographic images with slow camera movement. There is no music under the narration. Nothing on screen moves. The sentences carry everything.
MODE
Every script is a COMPOSITE. You construct the case from patterns that genuinely recur in this type of fraud. You never present it as a specific real event, you never use a real person's name, and you never name a real company or institution. If the user supplies real case facts, use only those facts and add nothing.
VOICE, these are rules and not suggestions
1. Vary sentence length deliberately. A long sentence that builds, then a short one that lands. Never three long sentences in a row, never three short ones.
2. Concrete over abstract, always. Not "he stole a significant sum" but "he took forty-one thousand dollars in the first year alone".
3. Trust silence. End a passage on a plain statement of fact and stop. Never add a summarising line. Never tell the viewer how to feel.
4. These words and phrases are banned entirely: shocking, unbelievable, devastating, heartbreaking, chilling, little did they know, little did he know, what happened next, the truth is, in a world where, and just like that. If one appears, delete the sentence and write a fact instead.
5. No rhetorical questions anywhere in the script. Not one.
6. No direct address to the viewer unless the STRUCTURE line explicitly asks for second person.
7. Use people's first names plainly and repeatedly. "Dolores", never "the victim" or "the woman in question".
8. Numbers are the drama. Exact figures, exact dates, exact durations. Round numbers feel invented, precise ones feel documented.
9. No financial advice, ever. The narrator observes patterns. He never tells the viewer what to do with their money.
TEXT TO SPEECH FORMATTING, the script goes straight into a TTS engine
Write every number, currency amount and date in words. Say "eighty four thousand dollars", "nineteen seventy eight", "six forty in the morning". Never write a digit. Never write a currency symbol or a percent sign.
No em dashes. Use a full stop or a comma. A TTS engine reads an em dash as nothing and destroys the pause you wanted.
No parentheses, brackets, asterisks, quotation marks around thoughts, bullet points, headings, or any markdown of any kind.
No abbreviations or acronyms. Write the words out.
Paragraphs of two to four sentences with a blank line between them. Each paragraph is one TTS chunk.
Where you want a pause, end the sentence. Never use ellipses.
WHAT YOU ARE WRITING
One continuous narration of nineteen hundred to twenty three hundred words, which runs twelve to fifteen minutes at this narrator's pace. Internally it moves through six movements, but you never label them and never break them out on the page. The reader should feel the shape without being shown it.
Movement one, about one hundred and sixty words: a cold, specific moment with no context given.
Movement two, about four hundred words: the world and the people before anything went wrong. Make the person at the centre of it likeable. The viewer must trust him.
Movement three, about four hundred and forty words: how he came to be near the money. Every step of it looked reasonable at the time.
Movement four, about four hundred words: the first small thing that did not add up, and the reason nobody followed it.
Movement five, about four hundred and forty words: the discovery and the collapse. Give the full figures here, the number of people, the number of years.
Movement six, about three hundred words: how the scheme actually worked mechanically, then three signals that were present and were missed, stated as observations and not as warnings. This final movement must contain at least one insight that appears nowhere else in the script. End on one flat sentence with no lesson attached.
The STRUCTURE line in the user message tells you how to order and enter the story. Follow it exactly. It overrides the default order above, but all six movements must still be present and hit roughly their lengths.
OUTPUT
Output the narration and nothing else. No title, no headings, no labels, no word counts, no notes, no preamble, no closing remarks. Plain paragraphs separated by blank lines. Begin with the first sentence of the script.</t>
  </si>
  <si>
    <t xml:space="preserve">API settings:  model = deepseek-v4-pro   |   temperature = 1.4   |   max_tokens = 6000   |   top_p = 0.95</t>
  </si>
  <si>
    <t xml:space="preserve">Order:  system message first, user message second. One video per chat. Never reuse a chat, the previous script will bleed into the next one.</t>
  </si>
  <si>
    <t xml:space="preserve">IMAGE PROMPT — second call, after the script is done</t>
  </si>
  <si>
    <t xml:space="preserve">Fresh chat. No system prompt needed. Paste this, then paste the script where it says PASTE SCRIPT HERE.</t>
  </si>
  <si>
    <t xml:space="preserve">You turn a documentary narration into image generation prompts for an SDXL realistic model. The images will be shown as stills with slow pan and zoom. Nothing moves.
Read the script I give you and produce eighteen prompts, in the order the images should appear.
Rules for every prompt:
Each prompt is a place, an object, or a wide human figure whose face is not readable. Never a close portrait. Never a recognisable real person. Never text, signage, logos or numbers in the frame.
Each prompt contains, in this order: subject, setting, period markers, time of day, quality of light, lens and film character, colour grade.
Vary the shot scale. Across every group of three, give one wide, one medium, one close detail.
Hold one consistent look across all eighteen. Decide the grade in the first prompt and do not drift.
Append this to the end of every single prompt, exactly as written:
35mm film photography, shallow depth of field, natural light, muted desaturated color grade, fine grain, no text, no watermark, photorealistic
Output exactly eighteen numbered lines and nothing else. No preamble, no explanation. After the eighteen, output one line beginning NEGATIVE: followed by a single negative prompt for the whole set.
Here is the script:
[PASTE SCRIPT HERE]</t>
  </si>
  <si>
    <t xml:space="preserve">Use deepseek-v4-flash here. It is cheaper and this task does not need reasoning. Temperature 0.9.</t>
  </si>
  <si>
    <t xml:space="preserve">Output goes straight onto Maryam's page. She copies each line into Tensor.art and saves as 01.png through 18.png.</t>
  </si>
  <si>
    <t xml:space="preserve">CONTENT CALENDAR — 8 Weeks</t>
  </si>
  <si>
    <t xml:space="preserve">Long-form publishes Monday. Shorts publish Wed / Fri / Sun, cut from the same long.</t>
  </si>
  <si>
    <t xml:space="preserve">Week</t>
  </si>
  <si>
    <t xml:space="preserve">Publish (Mon)</t>
  </si>
  <si>
    <t xml:space="preserve">Sub-Type</t>
  </si>
  <si>
    <t xml:space="preserve">Structure Variant</t>
  </si>
  <si>
    <t xml:space="preserve">LONG-FORM TITLE</t>
  </si>
  <si>
    <t xml:space="preserve">Thumbnail Text</t>
  </si>
  <si>
    <t xml:space="preserve">Opening Line</t>
  </si>
  <si>
    <t xml:space="preserve">SHORT 1 (Wed)</t>
  </si>
  <si>
    <t xml:space="preserve">SHORT 2 (Fri)</t>
  </si>
  <si>
    <t xml:space="preserve">SHORT 3 (Sun)</t>
  </si>
  <si>
    <t xml:space="preserve">USER PROMPT — copy this whole cell</t>
  </si>
  <si>
    <t xml:space="preserve">Insider / Trusted Custodian</t>
  </si>
  <si>
    <t xml:space="preserve">1. Cold open, then rewind</t>
  </si>
  <si>
    <t xml:space="preserve">They Called Him The Church Treasurer</t>
  </si>
  <si>
    <t xml:space="preserve">NINE YEARS</t>
  </si>
  <si>
    <t xml:space="preserve">On a Tuesday morning, Dolores walked into her bank and was told her account had been closed nine months earlier. She had been depositing into it every single Friday.</t>
  </si>
  <si>
    <t xml:space="preserve">The Deposit Slip That Didn't Match</t>
  </si>
  <si>
    <t xml:space="preserve">Nobody Checked The Ledger For Nine Years</t>
  </si>
  <si>
    <t xml:space="preserve">The One Question That Ended It</t>
  </si>
  <si>
    <t xml:space="preserve">TITLE: They Called Him The Church Treasurer
STRUCTURE: Cold open, then rewind. Open on the bank scene with no context, then go back nine years and move forward chronologically to the discovery.</t>
  </si>
  <si>
    <t xml:space="preserve">Elder Romance Fraud</t>
  </si>
  <si>
    <t xml:space="preserve">2. Straight chronological</t>
  </si>
  <si>
    <t xml:space="preserve">She Was Seventy-Nine And She Was Sure She Was In Love</t>
  </si>
  <si>
    <t xml:space="preserve">HE NEVER ASKED</t>
  </si>
  <si>
    <t xml:space="preserve">He never asked her for money. Not once. That was the whole design.</t>
  </si>
  <si>
    <t xml:space="preserve">He Never Asked For Money. Not Once.</t>
  </si>
  <si>
    <t xml:space="preserve">The Photo Was Eleven Years Old</t>
  </si>
  <si>
    <t xml:space="preserve">Her Bank Tried To Stop Her Three Times</t>
  </si>
  <si>
    <t xml:space="preserve">TITLE: She Was Seventy-Nine And She Was Sure She Was In Love
STRUCTURE: Straight chronological. Begin at the first contact and move forward without jumping. Let the slowness of it be the point.</t>
  </si>
  <si>
    <t xml:space="preserve">Contractor / Home Repair</t>
  </si>
  <si>
    <t xml:space="preserve">3. Reverse — open at the verdict</t>
  </si>
  <si>
    <t xml:space="preserve">The Roof Was Never Fixed</t>
  </si>
  <si>
    <t xml:space="preserve">$84,000</t>
  </si>
  <si>
    <t xml:space="preserve">The county has a file on this man that is four inches thick. It begins with a roof that was never fixed.</t>
  </si>
  <si>
    <t xml:space="preserve">$84,000 For A Roof That Never Existed</t>
  </si>
  <si>
    <t xml:space="preserve">The Permit Was Real. The Company Wasn't.</t>
  </si>
  <si>
    <t xml:space="preserve">Why The Deposit Is Always Fifty Percent</t>
  </si>
  <si>
    <t xml:space="preserve">TITLE: The Roof Was Never Fixed
STRUCTURE: Reverse. Open at the verdict, then work backwards through how it was built, ending at the very first handshake.</t>
  </si>
  <si>
    <t xml:space="preserve">Ponzi / Community Collapse</t>
  </si>
  <si>
    <t xml:space="preserve">4. Parallel timelines — victim &amp; operator</t>
  </si>
  <si>
    <t xml:space="preserve">Everyone In Town Was Invested</t>
  </si>
  <si>
    <t xml:space="preserve">THE WHOLE TOWN</t>
  </si>
  <si>
    <t xml:space="preserve">By the sixth year, there were more people in that town invested with him than there were people who were not.</t>
  </si>
  <si>
    <t xml:space="preserve">The Returns Never Dropped. Not Once. In Six Years.</t>
  </si>
  <si>
    <t xml:space="preserve">How One Barber Shop Recruited An Entire Town</t>
  </si>
  <si>
    <t xml:space="preserve">The Month The Withdrawals Started</t>
  </si>
  <si>
    <t xml:space="preserve">TITLE: Everyone In Town Was Invested
STRUCTURE: Parallel timelines. Alternate between what the investors believed was happening and what was actually happening, same dates, both threads.</t>
  </si>
  <si>
    <t xml:space="preserve">Insurance Denial</t>
  </si>
  <si>
    <t xml:space="preserve">5. Document-led — each act opens on paper</t>
  </si>
  <si>
    <t xml:space="preserve">The Policy Covered Everything Except This</t>
  </si>
  <si>
    <t xml:space="preserve">ONE SENTENCE</t>
  </si>
  <si>
    <t xml:space="preserve">She paid the premium for thirty-one years. The letter that ended it was four paragraphs long.</t>
  </si>
  <si>
    <t xml:space="preserve">Thirty Years Of Premiums. One Sentence.</t>
  </si>
  <si>
    <t xml:space="preserve">The Word That Voided Her Claim</t>
  </si>
  <si>
    <t xml:space="preserve">Why They Waited Until Day Eighty-Nine</t>
  </si>
  <si>
    <t xml:space="preserve">TITLE: The Policy Covered Everything Except This
STRUCTURE: Document led. Each part of the story opens on a single piece of paper: an application, a statement, a letter, a denial.</t>
  </si>
  <si>
    <t xml:space="preserve">Family / Long-Term Insider</t>
  </si>
  <si>
    <t xml:space="preserve">6. Second person open, then pull back</t>
  </si>
  <si>
    <t xml:space="preserve">My Father Trusted Him For Twenty-Two Years</t>
  </si>
  <si>
    <t xml:space="preserve">22 YEARS</t>
  </si>
  <si>
    <t xml:space="preserve">You would have trusted him too. That is not a figure of speech. Everybody did.</t>
  </si>
  <si>
    <t xml:space="preserve">He Signed The Checks For Twenty-Two Years</t>
  </si>
  <si>
    <t xml:space="preserve">The Accountant Who Never Took A Vacation</t>
  </si>
  <si>
    <t xml:space="preserve">Why Fraud Hides Behind Loyalty</t>
  </si>
  <si>
    <t xml:space="preserve">TITLE: My Father Trusted Him For Twenty-Two Years
STRUCTURE: Second person, then pull back. Open addressing the viewer directly for two paragraphs, then drop into third person for the rest and never return.</t>
  </si>
  <si>
    <t xml:space="preserve">Impersonation / Phone Scam</t>
  </si>
  <si>
    <t xml:space="preserve">7. Numbers first — open on the final figure</t>
  </si>
  <si>
    <t xml:space="preserve">The Call Came At Six Forty In The Morning</t>
  </si>
  <si>
    <t xml:space="preserve">6:40 AM</t>
  </si>
  <si>
    <t xml:space="preserve">Four hundred and twelve thousand dollars. That is what the morning cost her, and it started with a ringing phone.</t>
  </si>
  <si>
    <t xml:space="preserve">Six Forty AM Is Not An Accident</t>
  </si>
  <si>
    <t xml:space="preserve">The Voice On The Phone Was Her Grandson</t>
  </si>
  <si>
    <t xml:space="preserve">Why They Told Her Not To Hang Up</t>
  </si>
  <si>
    <t xml:space="preserve">TITLE: The Call Came At Six Forty In The Morning
STRUCTURE: Numbers first. Open on the final loss figure, then show how that number was assembled, one increment at a time.</t>
  </si>
  <si>
    <t xml:space="preserve">Professional Advisor</t>
  </si>
  <si>
    <t xml:space="preserve">8. Aftermath first — five years later, then back</t>
  </si>
  <si>
    <t xml:space="preserve">The Man Who Sold Certainty</t>
  </si>
  <si>
    <t xml:space="preserve">NO LICENSE</t>
  </si>
  <si>
    <t xml:space="preserve">Five years later the office is a nail salon. The people who walked into it are still paying for what happened there.</t>
  </si>
  <si>
    <t xml:space="preserve">He Had A Corner Office And No License</t>
  </si>
  <si>
    <t xml:space="preserve">The Brochure Cost More Than The Fund</t>
  </si>
  <si>
    <t xml:space="preserve">Certainty Is The Product. Not Returns.</t>
  </si>
  <si>
    <t xml:space="preserve">TITLE: The Man Who Sold Certainty
STRUCTURE: Aftermath first. Open five years later on what the place looks like now, then go back to the beginning.</t>
  </si>
  <si>
    <t xml:space="preserve">PRODUCTION TRACKER</t>
  </si>
  <si>
    <t xml:space="preserve">Maryam's sheet. Type Done in each stage as it is finished. Titles pull from the Content Calendar automatically.</t>
  </si>
  <si>
    <t xml:space="preserve">Type</t>
  </si>
  <si>
    <t xml:space="preserve">Title</t>
  </si>
  <si>
    <t xml:space="preserve">Script</t>
  </si>
  <si>
    <t xml:space="preserve">Images</t>
  </si>
  <si>
    <t xml:space="preserve">Voiceover</t>
  </si>
  <si>
    <t xml:space="preserve">Edit</t>
  </si>
  <si>
    <t xml:space="preserve">Thumbnail</t>
  </si>
  <si>
    <t xml:space="preserve">Uploaded</t>
  </si>
  <si>
    <t xml:space="preserve">Notes</t>
  </si>
  <si>
    <t xml:space="preserve">LONG</t>
  </si>
  <si>
    <t xml:space="preserve">Short 1</t>
  </si>
  <si>
    <t xml:space="preserve">Short 2</t>
  </si>
  <si>
    <t xml:space="preserve">Short 3</t>
  </si>
  <si>
    <t xml:space="preserve">Yellow cells = fill in. Everything else updates itself.</t>
  </si>
  <si>
    <t xml:space="preserve">PERFORMANCE — tracking toward $100/day</t>
  </si>
  <si>
    <t xml:space="preserve">Fill the yellow columns from YouTube Studio. Everything else calculates.</t>
  </si>
  <si>
    <t xml:space="preserve">Long-Form Title</t>
  </si>
  <si>
    <t xml:space="preserve">Views (long)</t>
  </si>
  <si>
    <t xml:space="preserve">Views (3 shorts)</t>
  </si>
  <si>
    <t xml:space="preserve">Long RPM ($)</t>
  </si>
  <si>
    <t xml:space="preserve">Shorts RPM ($)</t>
  </si>
  <si>
    <t xml:space="preserve">Est. Revenue ($)</t>
  </si>
  <si>
    <t xml:space="preserve">Avg View Duration</t>
  </si>
  <si>
    <t xml:space="preserve">TOTAL (8 weeks)</t>
  </si>
  <si>
    <t xml:space="preserve">THE $100/DAY MATH</t>
  </si>
  <si>
    <t xml:space="preserve">Target per day</t>
  </si>
  <si>
    <t xml:space="preserve">Target per month (30 days)</t>
  </si>
  <si>
    <t xml:space="preserve">Your blended RPM so far</t>
  </si>
  <si>
    <t xml:space="preserve">Monthly views needed at that RPM</t>
  </si>
  <si>
    <t xml:space="preserve">Your last-8-week views</t>
  </si>
  <si>
    <t xml:space="preserve">Percent of the way there</t>
  </si>
  <si>
    <t xml:space="preserve">Percent assumes your 8-week views represent roughly 2 months, halved to a monthly figure.</t>
  </si>
  <si>
    <t xml:space="preserve">Realistic RPM band for this niche with US/EU audience: $10-$25. Do not fill in $25 and plan around it.</t>
  </si>
  <si>
    <t xml:space="preserve">TITLE BANK — month 3 onward</t>
  </si>
  <si>
    <t xml:space="preserve">Same rules. Move one up into the Calendar when a week frees up.</t>
  </si>
  <si>
    <t xml:space="preserve">#</t>
  </si>
  <si>
    <t xml:space="preserve">Why it works</t>
  </si>
  <si>
    <t xml:space="preserve">Insider / Custodian</t>
  </si>
  <si>
    <t xml:space="preserve">The Bookkeeper Worked Late Every Night For Eleven Years</t>
  </si>
  <si>
    <t xml:space="preserve">Devotion reframed as method. Familiar detail, sinister on second read.</t>
  </si>
  <si>
    <t xml:space="preserve">Elder Fraud</t>
  </si>
  <si>
    <t xml:space="preserve">They Told Her Not To Tell Her Son</t>
  </si>
  <si>
    <t xml:space="preserve">Isolation is the mechanism. The title names it without explaining it.</t>
  </si>
  <si>
    <t xml:space="preserve">Ponzi</t>
  </si>
  <si>
    <t xml:space="preserve">The First Twelve Investors Got Paid In Full</t>
  </si>
  <si>
    <t xml:space="preserve">True statement that sounds like good news. That is the hook.</t>
  </si>
  <si>
    <t xml:space="preserve">Insurance</t>
  </si>
  <si>
    <t xml:space="preserve">The Fire Was Real. The Claim Was Not.</t>
  </si>
  <si>
    <t xml:space="preserve">Two sentences, one reversal. Very high CTR structure.</t>
  </si>
  <si>
    <t xml:space="preserve">Charity Fraud</t>
  </si>
  <si>
    <t xml:space="preserve">Ninety-One Cents Of Every Dollar</t>
  </si>
  <si>
    <t xml:space="preserve">A number nobody can resist finishing.</t>
  </si>
  <si>
    <t xml:space="preserve">Contractor</t>
  </si>
  <si>
    <t xml:space="preserve">He Had Forty-Three Reviews And All Of Them Were Real</t>
  </si>
  <si>
    <t xml:space="preserve">Breaks the viewer's assumed defence. Curiosity gap is immediate.</t>
  </si>
  <si>
    <t xml:space="preserve">Advisor</t>
  </si>
  <si>
    <t xml:space="preserve">The Statements Always Arrived On Time</t>
  </si>
  <si>
    <t xml:space="preserve">Reliability as camouflage. Quiet, ominous, no clickbait punctuation.</t>
  </si>
  <si>
    <t xml:space="preserve">Employment Scam</t>
  </si>
  <si>
    <t xml:space="preserve">The Job Was Real Until The Second Week</t>
  </si>
  <si>
    <t xml:space="preserve">Time marker creates a question with a definite answer.</t>
  </si>
  <si>
    <t xml:space="preserve">Crypto / Fintech</t>
  </si>
  <si>
    <t xml:space="preserve">Nobody Could Explain How It Made Money</t>
  </si>
  <si>
    <t xml:space="preserve">Everyone recognises this feeling. Universal entry point.</t>
  </si>
  <si>
    <t xml:space="preserve">Family</t>
  </si>
  <si>
    <t xml:space="preserve">She Had Power Of Attorney</t>
  </si>
  <si>
    <t xml:space="preserve">Six words. Anyone who has aged parents feels this instantly.</t>
  </si>
  <si>
    <t xml:space="preserve">Bank / Institution</t>
  </si>
  <si>
    <t xml:space="preserve">The Wire Cleared In Four Minutes</t>
  </si>
  <si>
    <t xml:space="preserve">Speed as the villain. Concrete, cinematic, visual.</t>
  </si>
  <si>
    <t xml:space="preserve">Estate Fraud</t>
  </si>
  <si>
    <t xml:space="preserve">The Will Was Changed Nineteen Days Before</t>
  </si>
  <si>
    <t xml:space="preserve">Precise number implies documentation. Signals a real case.</t>
  </si>
  <si>
    <t xml:space="preserve">RULES FOR WRITING YOUR OWN</t>
  </si>
  <si>
    <t xml:space="preserve">•</t>
  </si>
  <si>
    <t xml:space="preserve">Understate it. This audience does not click SHOCKING or EXPOSED. They click a quiet sentence that implies something bad.</t>
  </si>
  <si>
    <t xml:space="preserve">Use one concrete number or one concrete object. Nine years. A deposit slip. A roof. Abstractions do not get clicked.</t>
  </si>
  <si>
    <t xml:space="preserve">Never put the answer in the title. 'They Called Him The Church Treasurer' works. 'Church Treasurer Steals $2M' does not.</t>
  </si>
  <si>
    <t xml:space="preserve">No emoji, no ALL CAPS, no question marks. Those signal a different genre and pull in a lower-value audience.</t>
  </si>
  <si>
    <t xml:space="preserve">Six to nine words. Long enough to feel like a sentence, short enough to survive the mobile crop.</t>
  </si>
  <si>
    <t xml:space="preserve">Read it out loud. If it sounds like a documentary voiceover would say it, keep it.</t>
  </si>
</sst>
</file>

<file path=xl/styles.xml><?xml version="1.0" encoding="utf-8"?>
<styleSheet xmlns="http://schemas.openxmlformats.org/spreadsheetml/2006/main">
  <numFmts count="6">
    <numFmt numFmtId="164" formatCode="General"/>
    <numFmt numFmtId="165" formatCode="ddd\ d\ mmm"/>
    <numFmt numFmtId="166" formatCode="#,##0"/>
    <numFmt numFmtId="167" formatCode="\$#,##0.00"/>
    <numFmt numFmtId="168" formatCode="\$#,##0"/>
    <numFmt numFmtId="169" formatCode="0.0%"/>
  </numFmts>
  <fonts count="13">
    <font>
      <sz val="11"/>
      <color theme="1"/>
      <name val="Calibri"/>
      <family val="2"/>
      <charset val="1"/>
    </font>
    <font>
      <sz val="10"/>
      <name val="Arial"/>
      <family val="0"/>
    </font>
    <font>
      <sz val="10"/>
      <name val="Arial"/>
      <family val="0"/>
    </font>
    <font>
      <sz val="10"/>
      <name val="Arial"/>
      <family val="0"/>
    </font>
    <font>
      <b val="true"/>
      <sz val="16"/>
      <color rgb="FF7F1D1D"/>
      <name val="Arial"/>
      <family val="0"/>
      <charset val="1"/>
    </font>
    <font>
      <i val="true"/>
      <sz val="9"/>
      <color rgb="FF6B7280"/>
      <name val="Arial"/>
      <family val="0"/>
      <charset val="1"/>
    </font>
    <font>
      <sz val="10"/>
      <name val="Arial"/>
      <family val="0"/>
      <charset val="1"/>
    </font>
    <font>
      <b val="true"/>
      <sz val="10"/>
      <name val="Arial"/>
      <family val="0"/>
      <charset val="1"/>
    </font>
    <font>
      <b val="true"/>
      <sz val="14"/>
      <color rgb="FF1F2937"/>
      <name val="Arial"/>
      <family val="0"/>
      <charset val="1"/>
    </font>
    <font>
      <sz val="9"/>
      <name val="Courier New"/>
      <family val="0"/>
      <charset val="1"/>
    </font>
    <font>
      <b val="true"/>
      <sz val="10"/>
      <color rgb="FFFFFFFF"/>
      <name val="Arial"/>
      <family val="0"/>
      <charset val="1"/>
    </font>
    <font>
      <b val="true"/>
      <sz val="10"/>
      <color rgb="FF7F1D1D"/>
      <name val="Arial"/>
      <family val="0"/>
      <charset val="1"/>
    </font>
    <font>
      <b val="true"/>
      <sz val="12"/>
      <color rgb="FF7F1D1D"/>
      <name val="Arial"/>
      <family val="0"/>
      <charset val="1"/>
    </font>
  </fonts>
  <fills count="8">
    <fill>
      <patternFill patternType="none"/>
    </fill>
    <fill>
      <patternFill patternType="gray125"/>
    </fill>
    <fill>
      <patternFill patternType="solid">
        <fgColor rgb="FFFEE2E2"/>
        <bgColor rgb="FFFEF2F2"/>
      </patternFill>
    </fill>
    <fill>
      <patternFill patternType="solid">
        <fgColor rgb="FFDCFCE7"/>
        <bgColor rgb="FFCCFFCC"/>
      </patternFill>
    </fill>
    <fill>
      <patternFill patternType="solid">
        <fgColor rgb="FF1F2937"/>
        <bgColor rgb="FF333300"/>
      </patternFill>
    </fill>
    <fill>
      <patternFill patternType="solid">
        <fgColor rgb="FFF3F4F6"/>
        <bgColor rgb="FFFEF2F2"/>
      </patternFill>
    </fill>
    <fill>
      <patternFill patternType="solid">
        <fgColor rgb="FFFEF2F2"/>
        <bgColor rgb="FFF3F4F6"/>
      </patternFill>
    </fill>
    <fill>
      <patternFill patternType="solid">
        <fgColor rgb="FFFFFF00"/>
        <bgColor rgb="FFFFFF00"/>
      </patternFill>
    </fill>
  </fills>
  <borders count="2">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5" fontId="6" fillId="0"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4" fontId="11" fillId="0" borderId="1" xfId="0" applyFont="true" applyBorder="true" applyAlignment="true" applyProtection="false">
      <alignment horizontal="general"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false" indent="0" shrinkToFit="false"/>
      <protection locked="true" hidden="false"/>
    </xf>
    <xf numFmtId="165" fontId="6" fillId="5" borderId="1" xfId="0" applyFont="true" applyBorder="true" applyAlignment="true" applyProtection="false">
      <alignment horizontal="center" vertical="center" textRotation="0" wrapText="false" indent="0" shrinkToFit="false"/>
      <protection locked="true" hidden="false"/>
    </xf>
    <xf numFmtId="164" fontId="6" fillId="5" borderId="1" xfId="0" applyFont="true" applyBorder="true" applyAlignment="true" applyProtection="false">
      <alignment horizontal="general" vertical="center" textRotation="0" wrapText="true" indent="0" shrinkToFit="false"/>
      <protection locked="true" hidden="false"/>
    </xf>
    <xf numFmtId="164" fontId="11" fillId="5" borderId="1" xfId="0" applyFont="true" applyBorder="true" applyAlignment="true" applyProtection="false">
      <alignment horizontal="general" vertical="center" textRotation="0" wrapText="true" indent="0" shrinkToFit="false"/>
      <protection locked="true" hidden="false"/>
    </xf>
    <xf numFmtId="164" fontId="6" fillId="6" borderId="1" xfId="0" applyFont="true" applyBorder="true" applyAlignment="true" applyProtection="false">
      <alignment horizontal="center" vertical="bottom" textRotation="0" wrapText="false" indent="0" shrinkToFit="false"/>
      <protection locked="true" hidden="false"/>
    </xf>
    <xf numFmtId="164" fontId="7" fillId="6" borderId="1" xfId="0" applyFont="true" applyBorder="true" applyAlignment="true" applyProtection="false">
      <alignment horizontal="general" vertical="bottom" textRotation="0" wrapText="false" indent="0" shrinkToFit="false"/>
      <protection locked="true" hidden="false"/>
    </xf>
    <xf numFmtId="164" fontId="11" fillId="6" borderId="1" xfId="0" applyFont="true" applyBorder="true" applyAlignment="true" applyProtection="false">
      <alignment horizontal="general" vertical="center" textRotation="0" wrapText="true" indent="0" shrinkToFit="false"/>
      <protection locked="true" hidden="false"/>
    </xf>
    <xf numFmtId="164" fontId="6" fillId="7" borderId="1" xfId="0" applyFont="true" applyBorder="true" applyAlignment="true" applyProtection="false">
      <alignment horizontal="center" vertical="bottom" textRotation="0" wrapText="false" indent="0" shrinkToFit="false"/>
      <protection locked="true" hidden="false"/>
    </xf>
    <xf numFmtId="164" fontId="6" fillId="6"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6" fontId="6" fillId="7" borderId="1" xfId="0" applyFont="true" applyBorder="true" applyAlignment="true" applyProtection="false">
      <alignment horizontal="center" vertical="bottom" textRotation="0" wrapText="false" indent="0" shrinkToFit="false"/>
      <protection locked="true" hidden="false"/>
    </xf>
    <xf numFmtId="167" fontId="6" fillId="7" borderId="1" xfId="0" applyFont="true" applyBorder="true" applyAlignment="true" applyProtection="false">
      <alignment horizontal="center" vertical="bottom" textRotation="0" wrapText="false" indent="0" shrinkToFit="false"/>
      <protection locked="true" hidden="false"/>
    </xf>
    <xf numFmtId="167" fontId="7" fillId="0" borderId="1" xfId="0" applyFont="true" applyBorder="tru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bottom" textRotation="0" wrapText="false" indent="0" shrinkToFit="false"/>
      <protection locked="true" hidden="false"/>
    </xf>
    <xf numFmtId="166" fontId="7" fillId="2" borderId="1" xfId="0" applyFont="true" applyBorder="true" applyAlignment="true" applyProtection="false">
      <alignment horizontal="general" vertical="bottom" textRotation="0" wrapText="false" indent="0" shrinkToFit="false"/>
      <protection locked="true" hidden="false"/>
    </xf>
    <xf numFmtId="167" fontId="7" fillId="2" borderId="1" xfId="0" applyFont="true" applyBorder="tru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8" fontId="7" fillId="7" borderId="1" xfId="0" applyFont="true" applyBorder="true" applyAlignment="true" applyProtection="false">
      <alignment horizontal="general" vertical="bottom" textRotation="0" wrapText="false" indent="0" shrinkToFit="false"/>
      <protection locked="true" hidden="false"/>
    </xf>
    <xf numFmtId="168" fontId="7" fillId="0" borderId="1" xfId="0" applyFont="true" applyBorder="true" applyAlignment="tru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general" vertical="bottom" textRotation="0" wrapText="false" indent="0" shrinkToFit="false"/>
      <protection locked="true" hidden="false"/>
    </xf>
    <xf numFmtId="169" fontId="7" fillId="0" borderId="1" xfId="0" applyFont="true" applyBorder="true" applyAlignment="true" applyProtection="false">
      <alignment horizontal="general" vertical="bottom" textRotation="0" wrapText="false" indent="0" shrinkToFit="false"/>
      <protection locked="true" hidden="false"/>
    </xf>
    <xf numFmtId="164" fontId="6" fillId="5" borderId="1"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2F2"/>
      <rgbColor rgb="FFDCFCE7"/>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CCFFCC"/>
      <rgbColor rgb="FFFFFF99"/>
      <rgbColor rgb="FF99CCFF"/>
      <rgbColor rgb="FFFF99CC"/>
      <rgbColor rgb="FFCC99FF"/>
      <rgbColor rgb="FFFEE2E2"/>
      <rgbColor rgb="FF3366FF"/>
      <rgbColor rgb="FF33CCCC"/>
      <rgbColor rgb="FF99CC00"/>
      <rgbColor rgb="FFFFCC00"/>
      <rgbColor rgb="FFFF9900"/>
      <rgbColor rgb="FFFF6600"/>
      <rgbColor rgb="FF6B7280"/>
      <rgbColor rgb="FF969696"/>
      <rgbColor rgb="FF003366"/>
      <rgbColor rgb="FF339966"/>
      <rgbColor rgb="FF003300"/>
      <rgbColor rgb="FF333300"/>
      <rgbColor rgb="FF7F1D1D"/>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96"/>
  </cols>
  <sheetData>
    <row r="1" customFormat="false" ht="19.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4"/>
      <c r="B4" s="5"/>
    </row>
    <row r="5" customFormat="false" ht="15" hidden="false" customHeight="true" outlineLevel="0" collapsed="false">
      <c r="A5" s="6" t="s">
        <v>2</v>
      </c>
      <c r="B5" s="5"/>
    </row>
    <row r="6" customFormat="false" ht="30" hidden="false" customHeight="true" outlineLevel="0" collapsed="false">
      <c r="A6" s="4" t="s">
        <v>3</v>
      </c>
      <c r="B6" s="5" t="s">
        <v>4</v>
      </c>
    </row>
    <row r="7" customFormat="false" ht="30" hidden="false" customHeight="true" outlineLevel="0" collapsed="false">
      <c r="A7" s="4" t="s">
        <v>5</v>
      </c>
      <c r="B7" s="5" t="s">
        <v>6</v>
      </c>
    </row>
    <row r="8" customFormat="false" ht="30" hidden="false" customHeight="true" outlineLevel="0" collapsed="false">
      <c r="A8" s="4" t="s">
        <v>7</v>
      </c>
      <c r="B8" s="5" t="s">
        <v>8</v>
      </c>
    </row>
    <row r="9" customFormat="false" ht="15" hidden="false" customHeight="true" outlineLevel="0" collapsed="false">
      <c r="A9" s="4" t="s">
        <v>9</v>
      </c>
      <c r="B9" s="5" t="s">
        <v>10</v>
      </c>
    </row>
    <row r="10" customFormat="false" ht="15" hidden="false" customHeight="true" outlineLevel="0" collapsed="false">
      <c r="A10" s="4"/>
      <c r="B10" s="5"/>
    </row>
    <row r="11" customFormat="false" ht="15" hidden="false" customHeight="true" outlineLevel="0" collapsed="false">
      <c r="A11" s="6" t="s">
        <v>11</v>
      </c>
      <c r="B11" s="5"/>
    </row>
    <row r="12" customFormat="false" ht="15" hidden="false" customHeight="true" outlineLevel="0" collapsed="false">
      <c r="A12" s="4" t="s">
        <v>12</v>
      </c>
      <c r="B12" s="5" t="s">
        <v>13</v>
      </c>
    </row>
    <row r="13" customFormat="false" ht="15" hidden="false" customHeight="true" outlineLevel="0" collapsed="false">
      <c r="A13" s="4" t="s">
        <v>14</v>
      </c>
      <c r="B13" s="5" t="s">
        <v>15</v>
      </c>
    </row>
    <row r="14" customFormat="false" ht="15" hidden="false" customHeight="true" outlineLevel="0" collapsed="false">
      <c r="A14" s="4" t="s">
        <v>16</v>
      </c>
      <c r="B14" s="5" t="s">
        <v>17</v>
      </c>
    </row>
    <row r="15" customFormat="false" ht="15" hidden="false" customHeight="true" outlineLevel="0" collapsed="false">
      <c r="A15" s="4" t="s">
        <v>18</v>
      </c>
      <c r="B15" s="5" t="s">
        <v>19</v>
      </c>
    </row>
    <row r="16" customFormat="false" ht="30" hidden="false" customHeight="true" outlineLevel="0" collapsed="false">
      <c r="A16" s="4"/>
      <c r="B16" s="5" t="s">
        <v>20</v>
      </c>
    </row>
    <row r="17" customFormat="false" ht="15" hidden="false" customHeight="true" outlineLevel="0" collapsed="false">
      <c r="A17" s="4"/>
      <c r="B17" s="5"/>
    </row>
    <row r="18" customFormat="false" ht="15" hidden="false" customHeight="true" outlineLevel="0" collapsed="false">
      <c r="A18" s="6" t="s">
        <v>21</v>
      </c>
      <c r="B18" s="5"/>
    </row>
    <row r="19" customFormat="false" ht="30" hidden="false" customHeight="true" outlineLevel="0" collapsed="false">
      <c r="A19" s="4" t="s">
        <v>22</v>
      </c>
      <c r="B19" s="5" t="s">
        <v>23</v>
      </c>
    </row>
    <row r="20" customFormat="false" ht="30" hidden="false" customHeight="true" outlineLevel="0" collapsed="false">
      <c r="A20" s="4" t="s">
        <v>24</v>
      </c>
      <c r="B20" s="5" t="s">
        <v>25</v>
      </c>
    </row>
    <row r="21" customFormat="false" ht="15" hidden="false" customHeight="true" outlineLevel="0" collapsed="false">
      <c r="A21" s="4"/>
      <c r="B21" s="5"/>
    </row>
    <row r="22" customFormat="false" ht="15" hidden="false" customHeight="true" outlineLevel="0" collapsed="false">
      <c r="A22" s="6" t="s">
        <v>26</v>
      </c>
      <c r="B22" s="5"/>
    </row>
    <row r="23" customFormat="false" ht="30" hidden="false" customHeight="true" outlineLevel="0" collapsed="false">
      <c r="A23" s="4" t="s">
        <v>27</v>
      </c>
      <c r="B23" s="5" t="s">
        <v>28</v>
      </c>
    </row>
    <row r="24" customFormat="false" ht="15" hidden="false" customHeight="true" outlineLevel="0" collapsed="false">
      <c r="A24" s="4"/>
      <c r="B24" s="5"/>
    </row>
    <row r="25" customFormat="false" ht="15" hidden="false" customHeight="true" outlineLevel="0" collapsed="false">
      <c r="A25" s="6" t="s">
        <v>29</v>
      </c>
      <c r="B25" s="5"/>
    </row>
    <row r="26" customFormat="false" ht="30" hidden="false" customHeight="true" outlineLevel="0" collapsed="false">
      <c r="A26" s="4" t="s">
        <v>24</v>
      </c>
      <c r="B26" s="5" t="s">
        <v>30</v>
      </c>
    </row>
    <row r="27" customFormat="false" ht="30" hidden="false" customHeight="true" outlineLevel="0" collapsed="false">
      <c r="A27" s="4" t="s">
        <v>31</v>
      </c>
      <c r="B27" s="5" t="s">
        <v>32</v>
      </c>
    </row>
    <row r="28" customFormat="false" ht="30" hidden="false" customHeight="true" outlineLevel="0" collapsed="false">
      <c r="A28" s="4" t="s">
        <v>33</v>
      </c>
      <c r="B28" s="5" t="s">
        <v>34</v>
      </c>
    </row>
    <row r="29" customFormat="false" ht="15" hidden="false" customHeight="true" outlineLevel="0" collapsed="false">
      <c r="A29" s="4"/>
      <c r="B29" s="5"/>
    </row>
    <row r="30" customFormat="false" ht="15" hidden="false" customHeight="true" outlineLevel="0" collapsed="false">
      <c r="A30" s="6" t="s">
        <v>35</v>
      </c>
      <c r="B30" s="5"/>
    </row>
    <row r="31" customFormat="false" ht="30" hidden="false" customHeight="true" outlineLevel="0" collapsed="false">
      <c r="A31" s="4" t="s">
        <v>36</v>
      </c>
      <c r="B31" s="5" t="s">
        <v>37</v>
      </c>
    </row>
    <row r="33" customFormat="false" ht="15" hidden="false" customHeight="false" outlineLevel="0" collapsed="false">
      <c r="A33" s="7" t="s">
        <v>38</v>
      </c>
      <c r="B33" s="5"/>
    </row>
    <row r="34" customFormat="false" ht="15" hidden="false" customHeight="false" outlineLevel="0" collapsed="false">
      <c r="A34" s="8" t="s">
        <v>39</v>
      </c>
      <c r="B34" s="5" t="s">
        <v>40</v>
      </c>
    </row>
    <row r="35" customFormat="false" ht="30" hidden="false" customHeight="true" outlineLevel="0" collapsed="false">
      <c r="A35" s="8" t="s">
        <v>41</v>
      </c>
      <c r="B35" s="5" t="s">
        <v>42</v>
      </c>
    </row>
    <row r="36" customFormat="false" ht="30" hidden="false" customHeight="true" outlineLevel="0" collapsed="false">
      <c r="A36" s="8" t="s">
        <v>43</v>
      </c>
      <c r="B36" s="5" t="s">
        <v>44</v>
      </c>
    </row>
    <row r="37" customFormat="false" ht="15" hidden="false" customHeight="false" outlineLevel="0" collapsed="false">
      <c r="A37" s="8"/>
      <c r="B37" s="5"/>
    </row>
    <row r="38" customFormat="false" ht="15" hidden="false" customHeight="false" outlineLevel="0" collapsed="false">
      <c r="A38" s="7" t="s">
        <v>45</v>
      </c>
      <c r="B38" s="5"/>
    </row>
    <row r="39" customFormat="false" ht="15" hidden="false" customHeight="false" outlineLevel="0" collapsed="false">
      <c r="A39" s="8" t="s">
        <v>46</v>
      </c>
      <c r="B39" s="5" t="s">
        <v>47</v>
      </c>
    </row>
    <row r="40" customFormat="false" ht="30" hidden="false" customHeight="true" outlineLevel="0" collapsed="false">
      <c r="A40" s="8" t="s">
        <v>48</v>
      </c>
      <c r="B40" s="5" t="s">
        <v>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7.35" hidden="false" customHeight="false" outlineLevel="0" collapsed="false">
      <c r="A1" s="9" t="s">
        <v>50</v>
      </c>
    </row>
    <row r="2" customFormat="false" ht="15" hidden="false" customHeight="false" outlineLevel="0" collapsed="false">
      <c r="A2" s="10" t="s">
        <v>51</v>
      </c>
    </row>
    <row r="4" customFormat="false" ht="759.75" hidden="false" customHeight="true" outlineLevel="0" collapsed="false">
      <c r="A4" s="11" t="s">
        <v>52</v>
      </c>
    </row>
    <row r="6" customFormat="false" ht="15" hidden="false" customHeight="false" outlineLevel="0" collapsed="false">
      <c r="A6" s="12" t="s">
        <v>53</v>
      </c>
    </row>
    <row r="7" customFormat="false" ht="15" hidden="false" customHeight="false" outlineLevel="0" collapsed="false">
      <c r="A7" s="8" t="s">
        <v>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7.35" hidden="false" customHeight="false" outlineLevel="0" collapsed="false">
      <c r="A1" s="9" t="s">
        <v>55</v>
      </c>
    </row>
    <row r="2" customFormat="false" ht="15" hidden="false" customHeight="false" outlineLevel="0" collapsed="false">
      <c r="A2" s="10" t="s">
        <v>56</v>
      </c>
    </row>
    <row r="4" customFormat="false" ht="379.5" hidden="false" customHeight="true" outlineLevel="0" collapsed="false">
      <c r="A4" s="11" t="s">
        <v>57</v>
      </c>
    </row>
    <row r="6" customFormat="false" ht="15" hidden="false" customHeight="false" outlineLevel="0" collapsed="false">
      <c r="A6" s="8" t="s">
        <v>58</v>
      </c>
    </row>
    <row r="7" customFormat="false" ht="15" hidden="false" customHeight="false" outlineLevel="0" collapsed="false">
      <c r="A7" s="8" t="s">
        <v>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13"/>
    <col collapsed="false" customWidth="true" hidden="false" outlineLevel="0" max="3" min="3" style="1" width="24"/>
    <col collapsed="false" customWidth="true" hidden="false" outlineLevel="0" max="4" min="4" style="1" width="30"/>
    <col collapsed="false" customWidth="true" hidden="false" outlineLevel="0" max="5" min="5" style="1" width="42"/>
    <col collapsed="false" customWidth="true" hidden="false" outlineLevel="0" max="6" min="6" style="1" width="15"/>
    <col collapsed="false" customWidth="true" hidden="false" outlineLevel="0" max="7" min="7" style="1" width="52"/>
    <col collapsed="false" customWidth="true" hidden="false" outlineLevel="0" max="10" min="8" style="1" width="38"/>
    <col collapsed="false" customWidth="true" hidden="false" outlineLevel="0" max="11" min="11" style="0" width="70"/>
  </cols>
  <sheetData>
    <row r="1" customFormat="false" ht="17.25" hidden="false" customHeight="true" outlineLevel="0" collapsed="false">
      <c r="A1" s="13" t="s">
        <v>60</v>
      </c>
    </row>
    <row r="2" customFormat="false" ht="15" hidden="false" customHeight="true" outlineLevel="0" collapsed="false">
      <c r="A2" s="3" t="s">
        <v>61</v>
      </c>
    </row>
    <row r="4" customFormat="false" ht="30" hidden="false" customHeight="true" outlineLevel="0" collapsed="false">
      <c r="A4" s="14" t="s">
        <v>62</v>
      </c>
      <c r="B4" s="14" t="s">
        <v>63</v>
      </c>
      <c r="C4" s="14" t="s">
        <v>64</v>
      </c>
      <c r="D4" s="14" t="s">
        <v>65</v>
      </c>
      <c r="E4" s="14" t="s">
        <v>66</v>
      </c>
      <c r="F4" s="14" t="s">
        <v>67</v>
      </c>
      <c r="G4" s="14" t="s">
        <v>68</v>
      </c>
      <c r="H4" s="14" t="s">
        <v>69</v>
      </c>
      <c r="I4" s="14" t="s">
        <v>70</v>
      </c>
      <c r="J4" s="14" t="s">
        <v>71</v>
      </c>
      <c r="K4" s="14" t="s">
        <v>72</v>
      </c>
    </row>
    <row r="5" customFormat="false" ht="61.5" hidden="false" customHeight="true" outlineLevel="0" collapsed="false">
      <c r="A5" s="15" t="n">
        <v>1</v>
      </c>
      <c r="B5" s="16" t="n">
        <v>46265</v>
      </c>
      <c r="C5" s="17" t="s">
        <v>73</v>
      </c>
      <c r="D5" s="17" t="s">
        <v>74</v>
      </c>
      <c r="E5" s="18" t="s">
        <v>75</v>
      </c>
      <c r="F5" s="15" t="s">
        <v>76</v>
      </c>
      <c r="G5" s="17" t="s">
        <v>77</v>
      </c>
      <c r="H5" s="17" t="s">
        <v>78</v>
      </c>
      <c r="I5" s="17" t="s">
        <v>79</v>
      </c>
      <c r="J5" s="17" t="s">
        <v>80</v>
      </c>
      <c r="K5" s="11" t="s">
        <v>81</v>
      </c>
    </row>
    <row r="6" customFormat="false" ht="61.5" hidden="false" customHeight="true" outlineLevel="0" collapsed="false">
      <c r="A6" s="19" t="n">
        <v>2</v>
      </c>
      <c r="B6" s="20" t="n">
        <v>46272</v>
      </c>
      <c r="C6" s="21" t="s">
        <v>82</v>
      </c>
      <c r="D6" s="21" t="s">
        <v>83</v>
      </c>
      <c r="E6" s="22" t="s">
        <v>84</v>
      </c>
      <c r="F6" s="19" t="s">
        <v>85</v>
      </c>
      <c r="G6" s="21" t="s">
        <v>86</v>
      </c>
      <c r="H6" s="21" t="s">
        <v>87</v>
      </c>
      <c r="I6" s="21" t="s">
        <v>88</v>
      </c>
      <c r="J6" s="21" t="s">
        <v>89</v>
      </c>
      <c r="K6" s="11" t="s">
        <v>90</v>
      </c>
    </row>
    <row r="7" customFormat="false" ht="61.5" hidden="false" customHeight="true" outlineLevel="0" collapsed="false">
      <c r="A7" s="15" t="n">
        <v>3</v>
      </c>
      <c r="B7" s="16" t="n">
        <v>46279</v>
      </c>
      <c r="C7" s="17" t="s">
        <v>91</v>
      </c>
      <c r="D7" s="17" t="s">
        <v>92</v>
      </c>
      <c r="E7" s="18" t="s">
        <v>93</v>
      </c>
      <c r="F7" s="15" t="s">
        <v>94</v>
      </c>
      <c r="G7" s="17" t="s">
        <v>95</v>
      </c>
      <c r="H7" s="17" t="s">
        <v>96</v>
      </c>
      <c r="I7" s="17" t="s">
        <v>97</v>
      </c>
      <c r="J7" s="17" t="s">
        <v>98</v>
      </c>
      <c r="K7" s="11" t="s">
        <v>99</v>
      </c>
    </row>
    <row r="8" customFormat="false" ht="61.5" hidden="false" customHeight="true" outlineLevel="0" collapsed="false">
      <c r="A8" s="19" t="n">
        <v>4</v>
      </c>
      <c r="B8" s="20" t="n">
        <v>46286</v>
      </c>
      <c r="C8" s="21" t="s">
        <v>100</v>
      </c>
      <c r="D8" s="21" t="s">
        <v>101</v>
      </c>
      <c r="E8" s="22" t="s">
        <v>102</v>
      </c>
      <c r="F8" s="19" t="s">
        <v>103</v>
      </c>
      <c r="G8" s="21" t="s">
        <v>104</v>
      </c>
      <c r="H8" s="21" t="s">
        <v>105</v>
      </c>
      <c r="I8" s="21" t="s">
        <v>106</v>
      </c>
      <c r="J8" s="21" t="s">
        <v>107</v>
      </c>
      <c r="K8" s="11" t="s">
        <v>108</v>
      </c>
    </row>
    <row r="9" customFormat="false" ht="61.5" hidden="false" customHeight="true" outlineLevel="0" collapsed="false">
      <c r="A9" s="15" t="n">
        <v>5</v>
      </c>
      <c r="B9" s="16" t="n">
        <v>46293</v>
      </c>
      <c r="C9" s="17" t="s">
        <v>109</v>
      </c>
      <c r="D9" s="17" t="s">
        <v>110</v>
      </c>
      <c r="E9" s="18" t="s">
        <v>111</v>
      </c>
      <c r="F9" s="15" t="s">
        <v>112</v>
      </c>
      <c r="G9" s="17" t="s">
        <v>113</v>
      </c>
      <c r="H9" s="17" t="s">
        <v>114</v>
      </c>
      <c r="I9" s="17" t="s">
        <v>115</v>
      </c>
      <c r="J9" s="17" t="s">
        <v>116</v>
      </c>
      <c r="K9" s="11" t="s">
        <v>117</v>
      </c>
    </row>
    <row r="10" customFormat="false" ht="61.5" hidden="false" customHeight="true" outlineLevel="0" collapsed="false">
      <c r="A10" s="19" t="n">
        <v>6</v>
      </c>
      <c r="B10" s="20" t="n">
        <v>46300</v>
      </c>
      <c r="C10" s="21" t="s">
        <v>118</v>
      </c>
      <c r="D10" s="21" t="s">
        <v>119</v>
      </c>
      <c r="E10" s="22" t="s">
        <v>120</v>
      </c>
      <c r="F10" s="19" t="s">
        <v>121</v>
      </c>
      <c r="G10" s="21" t="s">
        <v>122</v>
      </c>
      <c r="H10" s="21" t="s">
        <v>123</v>
      </c>
      <c r="I10" s="21" t="s">
        <v>124</v>
      </c>
      <c r="J10" s="21" t="s">
        <v>125</v>
      </c>
      <c r="K10" s="11" t="s">
        <v>126</v>
      </c>
    </row>
    <row r="11" customFormat="false" ht="61.5" hidden="false" customHeight="true" outlineLevel="0" collapsed="false">
      <c r="A11" s="15" t="n">
        <v>7</v>
      </c>
      <c r="B11" s="16" t="n">
        <v>46307</v>
      </c>
      <c r="C11" s="17" t="s">
        <v>127</v>
      </c>
      <c r="D11" s="17" t="s">
        <v>128</v>
      </c>
      <c r="E11" s="18" t="s">
        <v>129</v>
      </c>
      <c r="F11" s="15" t="s">
        <v>130</v>
      </c>
      <c r="G11" s="17" t="s">
        <v>131</v>
      </c>
      <c r="H11" s="17" t="s">
        <v>132</v>
      </c>
      <c r="I11" s="17" t="s">
        <v>133</v>
      </c>
      <c r="J11" s="17" t="s">
        <v>134</v>
      </c>
      <c r="K11" s="11" t="s">
        <v>135</v>
      </c>
    </row>
    <row r="12" customFormat="false" ht="61.5" hidden="false" customHeight="true" outlineLevel="0" collapsed="false">
      <c r="A12" s="19" t="n">
        <v>8</v>
      </c>
      <c r="B12" s="20" t="n">
        <v>46314</v>
      </c>
      <c r="C12" s="21" t="s">
        <v>136</v>
      </c>
      <c r="D12" s="21" t="s">
        <v>137</v>
      </c>
      <c r="E12" s="22" t="s">
        <v>138</v>
      </c>
      <c r="F12" s="19" t="s">
        <v>139</v>
      </c>
      <c r="G12" s="21" t="s">
        <v>140</v>
      </c>
      <c r="H12" s="21" t="s">
        <v>141</v>
      </c>
      <c r="I12" s="21" t="s">
        <v>142</v>
      </c>
      <c r="J12" s="21" t="s">
        <v>143</v>
      </c>
      <c r="K12" s="11" t="s">
        <v>144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9"/>
    <col collapsed="false" customWidth="true" hidden="false" outlineLevel="0" max="3" min="3" style="1" width="44"/>
    <col collapsed="false" customWidth="true" hidden="false" outlineLevel="0" max="5" min="4" style="1" width="10"/>
    <col collapsed="false" customWidth="true" hidden="false" outlineLevel="0" max="6" min="6" style="1" width="11"/>
    <col collapsed="false" customWidth="true" hidden="false" outlineLevel="0" max="7" min="7" style="1" width="9"/>
    <col collapsed="false" customWidth="true" hidden="false" outlineLevel="0" max="8" min="8" style="1" width="12"/>
    <col collapsed="false" customWidth="true" hidden="false" outlineLevel="0" max="9" min="9" style="1" width="11"/>
    <col collapsed="false" customWidth="true" hidden="false" outlineLevel="0" max="10" min="10" style="1" width="30"/>
  </cols>
  <sheetData>
    <row r="1" customFormat="false" ht="17.25" hidden="false" customHeight="true" outlineLevel="0" collapsed="false">
      <c r="A1" s="13" t="s">
        <v>145</v>
      </c>
    </row>
    <row r="2" customFormat="false" ht="15" hidden="false" customHeight="true" outlineLevel="0" collapsed="false">
      <c r="A2" s="3" t="s">
        <v>146</v>
      </c>
    </row>
    <row r="4" customFormat="false" ht="30" hidden="false" customHeight="true" outlineLevel="0" collapsed="false">
      <c r="A4" s="14" t="s">
        <v>62</v>
      </c>
      <c r="B4" s="14" t="s">
        <v>147</v>
      </c>
      <c r="C4" s="14" t="s">
        <v>148</v>
      </c>
      <c r="D4" s="14" t="s">
        <v>149</v>
      </c>
      <c r="E4" s="14" t="s">
        <v>150</v>
      </c>
      <c r="F4" s="14" t="s">
        <v>151</v>
      </c>
      <c r="G4" s="14" t="s">
        <v>152</v>
      </c>
      <c r="H4" s="14" t="s">
        <v>153</v>
      </c>
      <c r="I4" s="14" t="s">
        <v>154</v>
      </c>
      <c r="J4" s="14" t="s">
        <v>155</v>
      </c>
    </row>
    <row r="5" customFormat="false" ht="15" hidden="false" customHeight="true" outlineLevel="0" collapsed="false">
      <c r="A5" s="23" t="n">
        <v>1</v>
      </c>
      <c r="B5" s="24" t="s">
        <v>156</v>
      </c>
      <c r="C5" s="25" t="str">
        <f aca="false">'Content Calendar'!E5</f>
        <v>They Called Him The Church Treasurer</v>
      </c>
      <c r="D5" s="26"/>
      <c r="E5" s="26"/>
      <c r="F5" s="26"/>
      <c r="G5" s="26"/>
      <c r="H5" s="26"/>
      <c r="I5" s="26"/>
      <c r="J5" s="27"/>
    </row>
    <row r="6" customFormat="false" ht="15" hidden="false" customHeight="true" outlineLevel="0" collapsed="false">
      <c r="A6" s="28" t="n">
        <v>1</v>
      </c>
      <c r="B6" s="29" t="s">
        <v>157</v>
      </c>
      <c r="C6" s="17" t="str">
        <f aca="false">'Content Calendar'!H5</f>
        <v>The Deposit Slip That Didn't Match</v>
      </c>
      <c r="D6" s="26"/>
      <c r="E6" s="26"/>
      <c r="F6" s="26"/>
      <c r="G6" s="26"/>
      <c r="H6" s="26"/>
      <c r="I6" s="26"/>
      <c r="J6" s="17"/>
    </row>
    <row r="7" customFormat="false" ht="15" hidden="false" customHeight="true" outlineLevel="0" collapsed="false">
      <c r="A7" s="28" t="n">
        <v>1</v>
      </c>
      <c r="B7" s="29" t="s">
        <v>158</v>
      </c>
      <c r="C7" s="17" t="str">
        <f aca="false">'Content Calendar'!I5</f>
        <v>Nobody Checked The Ledger For Nine Years</v>
      </c>
      <c r="D7" s="26"/>
      <c r="E7" s="26"/>
      <c r="F7" s="26"/>
      <c r="G7" s="26"/>
      <c r="H7" s="26"/>
      <c r="I7" s="26"/>
      <c r="J7" s="17"/>
    </row>
    <row r="8" customFormat="false" ht="15" hidden="false" customHeight="true" outlineLevel="0" collapsed="false">
      <c r="A8" s="28" t="n">
        <v>1</v>
      </c>
      <c r="B8" s="29" t="s">
        <v>159</v>
      </c>
      <c r="C8" s="17" t="str">
        <f aca="false">'Content Calendar'!J5</f>
        <v>The One Question That Ended It</v>
      </c>
      <c r="D8" s="26"/>
      <c r="E8" s="26"/>
      <c r="F8" s="26"/>
      <c r="G8" s="26"/>
      <c r="H8" s="26"/>
      <c r="I8" s="26"/>
      <c r="J8" s="17"/>
    </row>
    <row r="9" customFormat="false" ht="23.25" hidden="false" customHeight="true" outlineLevel="0" collapsed="false">
      <c r="A9" s="23" t="n">
        <v>2</v>
      </c>
      <c r="B9" s="24" t="s">
        <v>156</v>
      </c>
      <c r="C9" s="25" t="str">
        <f aca="false">'Content Calendar'!E6</f>
        <v>She Was Seventy-Nine And She Was Sure She Was In Love</v>
      </c>
      <c r="D9" s="26"/>
      <c r="E9" s="26"/>
      <c r="F9" s="26"/>
      <c r="G9" s="26"/>
      <c r="H9" s="26"/>
      <c r="I9" s="26"/>
      <c r="J9" s="27"/>
    </row>
    <row r="10" customFormat="false" ht="15" hidden="false" customHeight="true" outlineLevel="0" collapsed="false">
      <c r="A10" s="28" t="n">
        <v>2</v>
      </c>
      <c r="B10" s="29" t="s">
        <v>157</v>
      </c>
      <c r="C10" s="17" t="str">
        <f aca="false">'Content Calendar'!H6</f>
        <v>He Never Asked For Money. Not Once.</v>
      </c>
      <c r="D10" s="26"/>
      <c r="E10" s="26"/>
      <c r="F10" s="26"/>
      <c r="G10" s="26"/>
      <c r="H10" s="26"/>
      <c r="I10" s="26"/>
      <c r="J10" s="17"/>
    </row>
    <row r="11" customFormat="false" ht="15" hidden="false" customHeight="true" outlineLevel="0" collapsed="false">
      <c r="A11" s="28" t="n">
        <v>2</v>
      </c>
      <c r="B11" s="29" t="s">
        <v>158</v>
      </c>
      <c r="C11" s="17" t="str">
        <f aca="false">'Content Calendar'!I6</f>
        <v>The Photo Was Eleven Years Old</v>
      </c>
      <c r="D11" s="26"/>
      <c r="E11" s="26"/>
      <c r="F11" s="26"/>
      <c r="G11" s="26"/>
      <c r="H11" s="26"/>
      <c r="I11" s="26"/>
      <c r="J11" s="17"/>
    </row>
    <row r="12" customFormat="false" ht="15" hidden="false" customHeight="true" outlineLevel="0" collapsed="false">
      <c r="A12" s="28" t="n">
        <v>2</v>
      </c>
      <c r="B12" s="29" t="s">
        <v>159</v>
      </c>
      <c r="C12" s="17" t="str">
        <f aca="false">'Content Calendar'!J6</f>
        <v>Her Bank Tried To Stop Her Three Times</v>
      </c>
      <c r="D12" s="26"/>
      <c r="E12" s="26"/>
      <c r="F12" s="26"/>
      <c r="G12" s="26"/>
      <c r="H12" s="26"/>
      <c r="I12" s="26"/>
      <c r="J12" s="17"/>
    </row>
    <row r="13" customFormat="false" ht="15" hidden="false" customHeight="true" outlineLevel="0" collapsed="false">
      <c r="A13" s="23" t="n">
        <v>3</v>
      </c>
      <c r="B13" s="24" t="s">
        <v>156</v>
      </c>
      <c r="C13" s="25" t="str">
        <f aca="false">'Content Calendar'!E7</f>
        <v>The Roof Was Never Fixed</v>
      </c>
      <c r="D13" s="26"/>
      <c r="E13" s="26"/>
      <c r="F13" s="26"/>
      <c r="G13" s="26"/>
      <c r="H13" s="26"/>
      <c r="I13" s="26"/>
      <c r="J13" s="27"/>
    </row>
    <row r="14" customFormat="false" ht="15" hidden="false" customHeight="true" outlineLevel="0" collapsed="false">
      <c r="A14" s="28" t="n">
        <v>3</v>
      </c>
      <c r="B14" s="29" t="s">
        <v>157</v>
      </c>
      <c r="C14" s="17" t="str">
        <f aca="false">'Content Calendar'!H7</f>
        <v>$84,000 For A Roof That Never Existed</v>
      </c>
      <c r="D14" s="26"/>
      <c r="E14" s="26"/>
      <c r="F14" s="26"/>
      <c r="G14" s="26"/>
      <c r="H14" s="26"/>
      <c r="I14" s="26"/>
      <c r="J14" s="17"/>
    </row>
    <row r="15" customFormat="false" ht="15" hidden="false" customHeight="true" outlineLevel="0" collapsed="false">
      <c r="A15" s="28" t="n">
        <v>3</v>
      </c>
      <c r="B15" s="29" t="s">
        <v>158</v>
      </c>
      <c r="C15" s="17" t="str">
        <f aca="false">'Content Calendar'!I7</f>
        <v>The Permit Was Real. The Company Wasn't.</v>
      </c>
      <c r="D15" s="26"/>
      <c r="E15" s="26"/>
      <c r="F15" s="26"/>
      <c r="G15" s="26"/>
      <c r="H15" s="26"/>
      <c r="I15" s="26"/>
      <c r="J15" s="17"/>
    </row>
    <row r="16" customFormat="false" ht="15" hidden="false" customHeight="true" outlineLevel="0" collapsed="false">
      <c r="A16" s="28" t="n">
        <v>3</v>
      </c>
      <c r="B16" s="29" t="s">
        <v>159</v>
      </c>
      <c r="C16" s="17" t="str">
        <f aca="false">'Content Calendar'!J7</f>
        <v>Why The Deposit Is Always Fifty Percent</v>
      </c>
      <c r="D16" s="26"/>
      <c r="E16" s="26"/>
      <c r="F16" s="26"/>
      <c r="G16" s="26"/>
      <c r="H16" s="26"/>
      <c r="I16" s="26"/>
      <c r="J16" s="17"/>
    </row>
    <row r="17" customFormat="false" ht="15" hidden="false" customHeight="true" outlineLevel="0" collapsed="false">
      <c r="A17" s="23" t="n">
        <v>4</v>
      </c>
      <c r="B17" s="24" t="s">
        <v>156</v>
      </c>
      <c r="C17" s="25" t="str">
        <f aca="false">'Content Calendar'!E8</f>
        <v>Everyone In Town Was Invested</v>
      </c>
      <c r="D17" s="26"/>
      <c r="E17" s="26"/>
      <c r="F17" s="26"/>
      <c r="G17" s="26"/>
      <c r="H17" s="26"/>
      <c r="I17" s="26"/>
      <c r="J17" s="27"/>
    </row>
    <row r="18" customFormat="false" ht="15" hidden="false" customHeight="true" outlineLevel="0" collapsed="false">
      <c r="A18" s="28" t="n">
        <v>4</v>
      </c>
      <c r="B18" s="29" t="s">
        <v>157</v>
      </c>
      <c r="C18" s="17" t="str">
        <f aca="false">'Content Calendar'!H8</f>
        <v>The Returns Never Dropped. Not Once. In Six Years.</v>
      </c>
      <c r="D18" s="26"/>
      <c r="E18" s="26"/>
      <c r="F18" s="26"/>
      <c r="G18" s="26"/>
      <c r="H18" s="26"/>
      <c r="I18" s="26"/>
      <c r="J18" s="17"/>
    </row>
    <row r="19" customFormat="false" ht="15" hidden="false" customHeight="true" outlineLevel="0" collapsed="false">
      <c r="A19" s="28" t="n">
        <v>4</v>
      </c>
      <c r="B19" s="29" t="s">
        <v>158</v>
      </c>
      <c r="C19" s="17" t="str">
        <f aca="false">'Content Calendar'!I8</f>
        <v>How One Barber Shop Recruited An Entire Town</v>
      </c>
      <c r="D19" s="26"/>
      <c r="E19" s="26"/>
      <c r="F19" s="26"/>
      <c r="G19" s="26"/>
      <c r="H19" s="26"/>
      <c r="I19" s="26"/>
      <c r="J19" s="17"/>
    </row>
    <row r="20" customFormat="false" ht="15" hidden="false" customHeight="true" outlineLevel="0" collapsed="false">
      <c r="A20" s="28" t="n">
        <v>4</v>
      </c>
      <c r="B20" s="29" t="s">
        <v>159</v>
      </c>
      <c r="C20" s="17" t="str">
        <f aca="false">'Content Calendar'!J8</f>
        <v>The Month The Withdrawals Started</v>
      </c>
      <c r="D20" s="26"/>
      <c r="E20" s="26"/>
      <c r="F20" s="26"/>
      <c r="G20" s="26"/>
      <c r="H20" s="26"/>
      <c r="I20" s="26"/>
      <c r="J20" s="17"/>
    </row>
    <row r="21" customFormat="false" ht="15" hidden="false" customHeight="true" outlineLevel="0" collapsed="false">
      <c r="A21" s="23" t="n">
        <v>5</v>
      </c>
      <c r="B21" s="24" t="s">
        <v>156</v>
      </c>
      <c r="C21" s="25" t="str">
        <f aca="false">'Content Calendar'!E9</f>
        <v>The Policy Covered Everything Except This</v>
      </c>
      <c r="D21" s="26"/>
      <c r="E21" s="26"/>
      <c r="F21" s="26"/>
      <c r="G21" s="26"/>
      <c r="H21" s="26"/>
      <c r="I21" s="26"/>
      <c r="J21" s="27"/>
    </row>
    <row r="22" customFormat="false" ht="15" hidden="false" customHeight="true" outlineLevel="0" collapsed="false">
      <c r="A22" s="28" t="n">
        <v>5</v>
      </c>
      <c r="B22" s="29" t="s">
        <v>157</v>
      </c>
      <c r="C22" s="17" t="str">
        <f aca="false">'Content Calendar'!H9</f>
        <v>Thirty Years Of Premiums. One Sentence.</v>
      </c>
      <c r="D22" s="26"/>
      <c r="E22" s="26"/>
      <c r="F22" s="26"/>
      <c r="G22" s="26"/>
      <c r="H22" s="26"/>
      <c r="I22" s="26"/>
      <c r="J22" s="17"/>
    </row>
    <row r="23" customFormat="false" ht="15" hidden="false" customHeight="true" outlineLevel="0" collapsed="false">
      <c r="A23" s="28" t="n">
        <v>5</v>
      </c>
      <c r="B23" s="29" t="s">
        <v>158</v>
      </c>
      <c r="C23" s="17" t="str">
        <f aca="false">'Content Calendar'!I9</f>
        <v>The Word That Voided Her Claim</v>
      </c>
      <c r="D23" s="26"/>
      <c r="E23" s="26"/>
      <c r="F23" s="26"/>
      <c r="G23" s="26"/>
      <c r="H23" s="26"/>
      <c r="I23" s="26"/>
      <c r="J23" s="17"/>
    </row>
    <row r="24" customFormat="false" ht="15" hidden="false" customHeight="true" outlineLevel="0" collapsed="false">
      <c r="A24" s="28" t="n">
        <v>5</v>
      </c>
      <c r="B24" s="29" t="s">
        <v>159</v>
      </c>
      <c r="C24" s="17" t="str">
        <f aca="false">'Content Calendar'!J9</f>
        <v>Why They Waited Until Day Eighty-Nine</v>
      </c>
      <c r="D24" s="26"/>
      <c r="E24" s="26"/>
      <c r="F24" s="26"/>
      <c r="G24" s="26"/>
      <c r="H24" s="26"/>
      <c r="I24" s="26"/>
      <c r="J24" s="17"/>
    </row>
    <row r="25" customFormat="false" ht="15" hidden="false" customHeight="true" outlineLevel="0" collapsed="false">
      <c r="A25" s="23" t="n">
        <v>6</v>
      </c>
      <c r="B25" s="24" t="s">
        <v>156</v>
      </c>
      <c r="C25" s="25" t="str">
        <f aca="false">'Content Calendar'!E10</f>
        <v>My Father Trusted Him For Twenty-Two Years</v>
      </c>
      <c r="D25" s="26"/>
      <c r="E25" s="26"/>
      <c r="F25" s="26"/>
      <c r="G25" s="26"/>
      <c r="H25" s="26"/>
      <c r="I25" s="26"/>
      <c r="J25" s="27"/>
    </row>
    <row r="26" customFormat="false" ht="15" hidden="false" customHeight="true" outlineLevel="0" collapsed="false">
      <c r="A26" s="28" t="n">
        <v>6</v>
      </c>
      <c r="B26" s="29" t="s">
        <v>157</v>
      </c>
      <c r="C26" s="17" t="str">
        <f aca="false">'Content Calendar'!H10</f>
        <v>He Signed The Checks For Twenty-Two Years</v>
      </c>
      <c r="D26" s="26"/>
      <c r="E26" s="26"/>
      <c r="F26" s="26"/>
      <c r="G26" s="26"/>
      <c r="H26" s="26"/>
      <c r="I26" s="26"/>
      <c r="J26" s="17"/>
    </row>
    <row r="27" customFormat="false" ht="15" hidden="false" customHeight="true" outlineLevel="0" collapsed="false">
      <c r="A27" s="28" t="n">
        <v>6</v>
      </c>
      <c r="B27" s="29" t="s">
        <v>158</v>
      </c>
      <c r="C27" s="17" t="str">
        <f aca="false">'Content Calendar'!I10</f>
        <v>The Accountant Who Never Took A Vacation</v>
      </c>
      <c r="D27" s="26"/>
      <c r="E27" s="26"/>
      <c r="F27" s="26"/>
      <c r="G27" s="26"/>
      <c r="H27" s="26"/>
      <c r="I27" s="26"/>
      <c r="J27" s="17"/>
    </row>
    <row r="28" customFormat="false" ht="15" hidden="false" customHeight="true" outlineLevel="0" collapsed="false">
      <c r="A28" s="28" t="n">
        <v>6</v>
      </c>
      <c r="B28" s="29" t="s">
        <v>159</v>
      </c>
      <c r="C28" s="17" t="str">
        <f aca="false">'Content Calendar'!J10</f>
        <v>Why Fraud Hides Behind Loyalty</v>
      </c>
      <c r="D28" s="26"/>
      <c r="E28" s="26"/>
      <c r="F28" s="26"/>
      <c r="G28" s="26"/>
      <c r="H28" s="26"/>
      <c r="I28" s="26"/>
      <c r="J28" s="17"/>
    </row>
    <row r="29" customFormat="false" ht="15" hidden="false" customHeight="true" outlineLevel="0" collapsed="false">
      <c r="A29" s="23" t="n">
        <v>7</v>
      </c>
      <c r="B29" s="24" t="s">
        <v>156</v>
      </c>
      <c r="C29" s="25" t="str">
        <f aca="false">'Content Calendar'!E11</f>
        <v>The Call Came At Six Forty In The Morning</v>
      </c>
      <c r="D29" s="26"/>
      <c r="E29" s="26"/>
      <c r="F29" s="26"/>
      <c r="G29" s="26"/>
      <c r="H29" s="26"/>
      <c r="I29" s="26"/>
      <c r="J29" s="27"/>
    </row>
    <row r="30" customFormat="false" ht="15" hidden="false" customHeight="true" outlineLevel="0" collapsed="false">
      <c r="A30" s="28" t="n">
        <v>7</v>
      </c>
      <c r="B30" s="29" t="s">
        <v>157</v>
      </c>
      <c r="C30" s="17" t="str">
        <f aca="false">'Content Calendar'!H11</f>
        <v>Six Forty AM Is Not An Accident</v>
      </c>
      <c r="D30" s="26"/>
      <c r="E30" s="26"/>
      <c r="F30" s="26"/>
      <c r="G30" s="26"/>
      <c r="H30" s="26"/>
      <c r="I30" s="26"/>
      <c r="J30" s="17"/>
    </row>
    <row r="31" customFormat="false" ht="15" hidden="false" customHeight="true" outlineLevel="0" collapsed="false">
      <c r="A31" s="28" t="n">
        <v>7</v>
      </c>
      <c r="B31" s="29" t="s">
        <v>158</v>
      </c>
      <c r="C31" s="17" t="str">
        <f aca="false">'Content Calendar'!I11</f>
        <v>The Voice On The Phone Was Her Grandson</v>
      </c>
      <c r="D31" s="26"/>
      <c r="E31" s="26"/>
      <c r="F31" s="26"/>
      <c r="G31" s="26"/>
      <c r="H31" s="26"/>
      <c r="I31" s="26"/>
      <c r="J31" s="17"/>
    </row>
    <row r="32" customFormat="false" ht="15" hidden="false" customHeight="true" outlineLevel="0" collapsed="false">
      <c r="A32" s="28" t="n">
        <v>7</v>
      </c>
      <c r="B32" s="29" t="s">
        <v>159</v>
      </c>
      <c r="C32" s="17" t="str">
        <f aca="false">'Content Calendar'!J11</f>
        <v>Why They Told Her Not To Hang Up</v>
      </c>
      <c r="D32" s="26"/>
      <c r="E32" s="26"/>
      <c r="F32" s="26"/>
      <c r="G32" s="26"/>
      <c r="H32" s="26"/>
      <c r="I32" s="26"/>
      <c r="J32" s="17"/>
    </row>
    <row r="33" customFormat="false" ht="15" hidden="false" customHeight="true" outlineLevel="0" collapsed="false">
      <c r="A33" s="23" t="n">
        <v>8</v>
      </c>
      <c r="B33" s="24" t="s">
        <v>156</v>
      </c>
      <c r="C33" s="25" t="str">
        <f aca="false">'Content Calendar'!E12</f>
        <v>The Man Who Sold Certainty</v>
      </c>
      <c r="D33" s="26"/>
      <c r="E33" s="26"/>
      <c r="F33" s="26"/>
      <c r="G33" s="26"/>
      <c r="H33" s="26"/>
      <c r="I33" s="26"/>
      <c r="J33" s="27"/>
    </row>
    <row r="34" customFormat="false" ht="15" hidden="false" customHeight="true" outlineLevel="0" collapsed="false">
      <c r="A34" s="28" t="n">
        <v>8</v>
      </c>
      <c r="B34" s="29" t="s">
        <v>157</v>
      </c>
      <c r="C34" s="17" t="str">
        <f aca="false">'Content Calendar'!H12</f>
        <v>He Had A Corner Office And No License</v>
      </c>
      <c r="D34" s="26"/>
      <c r="E34" s="26"/>
      <c r="F34" s="26"/>
      <c r="G34" s="26"/>
      <c r="H34" s="26"/>
      <c r="I34" s="26"/>
      <c r="J34" s="17"/>
    </row>
    <row r="35" customFormat="false" ht="15" hidden="false" customHeight="true" outlineLevel="0" collapsed="false">
      <c r="A35" s="28" t="n">
        <v>8</v>
      </c>
      <c r="B35" s="29" t="s">
        <v>158</v>
      </c>
      <c r="C35" s="17" t="str">
        <f aca="false">'Content Calendar'!I12</f>
        <v>The Brochure Cost More Than The Fund</v>
      </c>
      <c r="D35" s="26"/>
      <c r="E35" s="26"/>
      <c r="F35" s="26"/>
      <c r="G35" s="26"/>
      <c r="H35" s="26"/>
      <c r="I35" s="26"/>
      <c r="J35" s="17"/>
    </row>
    <row r="36" customFormat="false" ht="15" hidden="false" customHeight="true" outlineLevel="0" collapsed="false">
      <c r="A36" s="28" t="n">
        <v>8</v>
      </c>
      <c r="B36" s="29" t="s">
        <v>159</v>
      </c>
      <c r="C36" s="17" t="str">
        <f aca="false">'Content Calendar'!J12</f>
        <v>Certainty Is The Product. Not Returns.</v>
      </c>
      <c r="D36" s="26"/>
      <c r="E36" s="26"/>
      <c r="F36" s="26"/>
      <c r="G36" s="26"/>
      <c r="H36" s="26"/>
      <c r="I36" s="26"/>
      <c r="J36" s="17"/>
    </row>
    <row r="38" customFormat="false" ht="15" hidden="false" customHeight="true" outlineLevel="0" collapsed="false">
      <c r="A38" s="3" t="s">
        <v>160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42"/>
    <col collapsed="false" customWidth="true" hidden="false" outlineLevel="0" max="3" min="3" style="1" width="14"/>
    <col collapsed="false" customWidth="true" hidden="false" outlineLevel="0" max="4" min="4" style="1" width="15"/>
    <col collapsed="false" customWidth="true" hidden="false" outlineLevel="0" max="5" min="5" style="1" width="13"/>
    <col collapsed="false" customWidth="true" hidden="false" outlineLevel="0" max="6" min="6" style="1" width="14"/>
    <col collapsed="false" customWidth="true" hidden="false" outlineLevel="0" max="7" min="7" style="1" width="16"/>
    <col collapsed="false" customWidth="true" hidden="false" outlineLevel="0" max="8" min="8" style="1" width="18"/>
  </cols>
  <sheetData>
    <row r="1" customFormat="false" ht="17.25" hidden="false" customHeight="true" outlineLevel="0" collapsed="false">
      <c r="A1" s="13" t="s">
        <v>161</v>
      </c>
    </row>
    <row r="2" customFormat="false" ht="15" hidden="false" customHeight="true" outlineLevel="0" collapsed="false">
      <c r="A2" s="3" t="s">
        <v>162</v>
      </c>
    </row>
    <row r="4" customFormat="false" ht="30" hidden="false" customHeight="true" outlineLevel="0" collapsed="false">
      <c r="A4" s="14" t="s">
        <v>62</v>
      </c>
      <c r="B4" s="14" t="s">
        <v>163</v>
      </c>
      <c r="C4" s="14" t="s">
        <v>164</v>
      </c>
      <c r="D4" s="14" t="s">
        <v>165</v>
      </c>
      <c r="E4" s="14" t="s">
        <v>166</v>
      </c>
      <c r="F4" s="14" t="s">
        <v>167</v>
      </c>
      <c r="G4" s="14" t="s">
        <v>168</v>
      </c>
      <c r="H4" s="14" t="s">
        <v>169</v>
      </c>
    </row>
    <row r="5" customFormat="false" ht="15" hidden="false" customHeight="true" outlineLevel="0" collapsed="false">
      <c r="A5" s="28" t="n">
        <v>1</v>
      </c>
      <c r="B5" s="18" t="str">
        <f aca="false">'Content Calendar'!E5</f>
        <v>They Called Him The Church Treasurer</v>
      </c>
      <c r="C5" s="30"/>
      <c r="D5" s="30"/>
      <c r="E5" s="31"/>
      <c r="F5" s="31"/>
      <c r="G5" s="32" t="n">
        <f aca="false">IFERROR(C5/1000*E5+D5/1000*F5,0)</f>
        <v>0</v>
      </c>
      <c r="H5" s="26"/>
    </row>
    <row r="6" customFormat="false" ht="23.25" hidden="false" customHeight="true" outlineLevel="0" collapsed="false">
      <c r="A6" s="28" t="n">
        <v>2</v>
      </c>
      <c r="B6" s="18" t="str">
        <f aca="false">'Content Calendar'!E6</f>
        <v>She Was Seventy-Nine And She Was Sure She Was In Love</v>
      </c>
      <c r="C6" s="30"/>
      <c r="D6" s="30"/>
      <c r="E6" s="31"/>
      <c r="F6" s="31"/>
      <c r="G6" s="32" t="n">
        <f aca="false">IFERROR(C6/1000*E6+D6/1000*F6,0)</f>
        <v>0</v>
      </c>
      <c r="H6" s="26"/>
    </row>
    <row r="7" customFormat="false" ht="15" hidden="false" customHeight="true" outlineLevel="0" collapsed="false">
      <c r="A7" s="28" t="n">
        <v>3</v>
      </c>
      <c r="B7" s="18" t="str">
        <f aca="false">'Content Calendar'!E7</f>
        <v>The Roof Was Never Fixed</v>
      </c>
      <c r="C7" s="30"/>
      <c r="D7" s="30"/>
      <c r="E7" s="31"/>
      <c r="F7" s="31"/>
      <c r="G7" s="32" t="n">
        <f aca="false">IFERROR(C7/1000*E7+D7/1000*F7,0)</f>
        <v>0</v>
      </c>
      <c r="H7" s="26"/>
    </row>
    <row r="8" customFormat="false" ht="15" hidden="false" customHeight="true" outlineLevel="0" collapsed="false">
      <c r="A8" s="28" t="n">
        <v>4</v>
      </c>
      <c r="B8" s="18" t="str">
        <f aca="false">'Content Calendar'!E8</f>
        <v>Everyone In Town Was Invested</v>
      </c>
      <c r="C8" s="30"/>
      <c r="D8" s="30"/>
      <c r="E8" s="31"/>
      <c r="F8" s="31"/>
      <c r="G8" s="32" t="n">
        <f aca="false">IFERROR(C8/1000*E8+D8/1000*F8,0)</f>
        <v>0</v>
      </c>
      <c r="H8" s="26"/>
    </row>
    <row r="9" customFormat="false" ht="15" hidden="false" customHeight="true" outlineLevel="0" collapsed="false">
      <c r="A9" s="28" t="n">
        <v>5</v>
      </c>
      <c r="B9" s="18" t="str">
        <f aca="false">'Content Calendar'!E9</f>
        <v>The Policy Covered Everything Except This</v>
      </c>
      <c r="C9" s="30"/>
      <c r="D9" s="30"/>
      <c r="E9" s="31"/>
      <c r="F9" s="31"/>
      <c r="G9" s="32" t="n">
        <f aca="false">IFERROR(C9/1000*E9+D9/1000*F9,0)</f>
        <v>0</v>
      </c>
      <c r="H9" s="26"/>
    </row>
    <row r="10" customFormat="false" ht="15" hidden="false" customHeight="true" outlineLevel="0" collapsed="false">
      <c r="A10" s="28" t="n">
        <v>6</v>
      </c>
      <c r="B10" s="18" t="str">
        <f aca="false">'Content Calendar'!E10</f>
        <v>My Father Trusted Him For Twenty-Two Years</v>
      </c>
      <c r="C10" s="30"/>
      <c r="D10" s="30"/>
      <c r="E10" s="31"/>
      <c r="F10" s="31"/>
      <c r="G10" s="32" t="n">
        <f aca="false">IFERROR(C10/1000*E10+D10/1000*F10,0)</f>
        <v>0</v>
      </c>
      <c r="H10" s="26"/>
    </row>
    <row r="11" customFormat="false" ht="15" hidden="false" customHeight="true" outlineLevel="0" collapsed="false">
      <c r="A11" s="28" t="n">
        <v>7</v>
      </c>
      <c r="B11" s="18" t="str">
        <f aca="false">'Content Calendar'!E11</f>
        <v>The Call Came At Six Forty In The Morning</v>
      </c>
      <c r="C11" s="30"/>
      <c r="D11" s="30"/>
      <c r="E11" s="31"/>
      <c r="F11" s="31"/>
      <c r="G11" s="32" t="n">
        <f aca="false">IFERROR(C11/1000*E11+D11/1000*F11,0)</f>
        <v>0</v>
      </c>
      <c r="H11" s="26"/>
    </row>
    <row r="12" customFormat="false" ht="15" hidden="false" customHeight="true" outlineLevel="0" collapsed="false">
      <c r="A12" s="28" t="n">
        <v>8</v>
      </c>
      <c r="B12" s="18" t="str">
        <f aca="false">'Content Calendar'!E12</f>
        <v>The Man Who Sold Certainty</v>
      </c>
      <c r="C12" s="30"/>
      <c r="D12" s="30"/>
      <c r="E12" s="31"/>
      <c r="F12" s="31"/>
      <c r="G12" s="32" t="n">
        <f aca="false">IFERROR(C12/1000*E12+D12/1000*F12,0)</f>
        <v>0</v>
      </c>
      <c r="H12" s="26"/>
    </row>
    <row r="13" customFormat="false" ht="15" hidden="false" customHeight="true" outlineLevel="0" collapsed="false">
      <c r="A13" s="33"/>
      <c r="B13" s="33" t="s">
        <v>170</v>
      </c>
      <c r="C13" s="34" t="n">
        <f aca="false">SUM(C5:C12)</f>
        <v>0</v>
      </c>
      <c r="D13" s="34" t="n">
        <f aca="false">SUM(D5:D12)</f>
        <v>0</v>
      </c>
      <c r="E13" s="33"/>
      <c r="F13" s="33"/>
      <c r="G13" s="35" t="n">
        <f aca="false">SUM(G5:G12)</f>
        <v>0</v>
      </c>
      <c r="H13" s="33"/>
    </row>
    <row r="16" customFormat="false" ht="15" hidden="false" customHeight="true" outlineLevel="0" collapsed="false">
      <c r="B16" s="36" t="s">
        <v>171</v>
      </c>
    </row>
    <row r="17" customFormat="false" ht="15" hidden="false" customHeight="true" outlineLevel="0" collapsed="false">
      <c r="B17" s="29" t="s">
        <v>172</v>
      </c>
      <c r="C17" s="37" t="n">
        <v>100</v>
      </c>
    </row>
    <row r="18" customFormat="false" ht="15" hidden="false" customHeight="true" outlineLevel="0" collapsed="false">
      <c r="B18" s="29" t="s">
        <v>173</v>
      </c>
      <c r="C18" s="38" t="n">
        <f aca="false">C17*30</f>
        <v>3000</v>
      </c>
    </row>
    <row r="19" customFormat="false" ht="15" hidden="false" customHeight="true" outlineLevel="0" collapsed="false">
      <c r="B19" s="29" t="s">
        <v>174</v>
      </c>
      <c r="C19" s="32" t="n">
        <f aca="false">IFERROR(G13/((C13+D13)/1000),0)</f>
        <v>0</v>
      </c>
    </row>
    <row r="20" customFormat="false" ht="15" hidden="false" customHeight="true" outlineLevel="0" collapsed="false">
      <c r="B20" s="29" t="s">
        <v>175</v>
      </c>
      <c r="C20" s="39" t="n">
        <f aca="false">IFERROR(C18/C19*1000,0)</f>
        <v>0</v>
      </c>
    </row>
    <row r="21" customFormat="false" ht="15" hidden="false" customHeight="true" outlineLevel="0" collapsed="false">
      <c r="B21" s="29" t="s">
        <v>176</v>
      </c>
      <c r="C21" s="39" t="n">
        <f aca="false">C13+D13</f>
        <v>0</v>
      </c>
    </row>
    <row r="22" customFormat="false" ht="15" hidden="false" customHeight="true" outlineLevel="0" collapsed="false">
      <c r="B22" s="29" t="s">
        <v>177</v>
      </c>
      <c r="C22" s="40" t="n">
        <f aca="false">IFERROR((C13+D13)/2/C20,0)</f>
        <v>0</v>
      </c>
    </row>
    <row r="24" customFormat="false" ht="15" hidden="false" customHeight="true" outlineLevel="0" collapsed="false">
      <c r="B24" s="3" t="s">
        <v>178</v>
      </c>
    </row>
    <row r="25" customFormat="false" ht="15" hidden="false" customHeight="true" outlineLevel="0" collapsed="false">
      <c r="B25" s="3" t="s">
        <v>179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4"/>
    <col collapsed="false" customWidth="true" hidden="false" outlineLevel="0" max="3" min="3" style="1" width="44"/>
    <col collapsed="false" customWidth="true" hidden="false" outlineLevel="0" max="4" min="4" style="1" width="56"/>
  </cols>
  <sheetData>
    <row r="1" customFormat="false" ht="17.25" hidden="false" customHeight="true" outlineLevel="0" collapsed="false">
      <c r="A1" s="13" t="s">
        <v>180</v>
      </c>
    </row>
    <row r="2" customFormat="false" ht="15" hidden="false" customHeight="true" outlineLevel="0" collapsed="false">
      <c r="A2" s="3" t="s">
        <v>181</v>
      </c>
    </row>
    <row r="4" customFormat="false" ht="30" hidden="false" customHeight="true" outlineLevel="0" collapsed="false">
      <c r="A4" s="14" t="s">
        <v>182</v>
      </c>
      <c r="B4" s="14" t="s">
        <v>64</v>
      </c>
      <c r="C4" s="14" t="s">
        <v>66</v>
      </c>
      <c r="D4" s="14" t="s">
        <v>183</v>
      </c>
    </row>
    <row r="5" customFormat="false" ht="30" hidden="false" customHeight="true" outlineLevel="0" collapsed="false">
      <c r="A5" s="28" t="n">
        <v>1</v>
      </c>
      <c r="B5" s="17" t="s">
        <v>184</v>
      </c>
      <c r="C5" s="18" t="s">
        <v>185</v>
      </c>
      <c r="D5" s="17" t="s">
        <v>186</v>
      </c>
    </row>
    <row r="6" customFormat="false" ht="30" hidden="false" customHeight="true" outlineLevel="0" collapsed="false">
      <c r="A6" s="41" t="n">
        <v>2</v>
      </c>
      <c r="B6" s="21" t="s">
        <v>187</v>
      </c>
      <c r="C6" s="22" t="s">
        <v>188</v>
      </c>
      <c r="D6" s="21" t="s">
        <v>189</v>
      </c>
    </row>
    <row r="7" customFormat="false" ht="30" hidden="false" customHeight="true" outlineLevel="0" collapsed="false">
      <c r="A7" s="28" t="n">
        <v>3</v>
      </c>
      <c r="B7" s="17" t="s">
        <v>190</v>
      </c>
      <c r="C7" s="18" t="s">
        <v>191</v>
      </c>
      <c r="D7" s="17" t="s">
        <v>192</v>
      </c>
    </row>
    <row r="8" customFormat="false" ht="30" hidden="false" customHeight="true" outlineLevel="0" collapsed="false">
      <c r="A8" s="41" t="n">
        <v>4</v>
      </c>
      <c r="B8" s="21" t="s">
        <v>193</v>
      </c>
      <c r="C8" s="22" t="s">
        <v>194</v>
      </c>
      <c r="D8" s="21" t="s">
        <v>195</v>
      </c>
    </row>
    <row r="9" customFormat="false" ht="30" hidden="false" customHeight="true" outlineLevel="0" collapsed="false">
      <c r="A9" s="28" t="n">
        <v>5</v>
      </c>
      <c r="B9" s="17" t="s">
        <v>196</v>
      </c>
      <c r="C9" s="18" t="s">
        <v>197</v>
      </c>
      <c r="D9" s="17" t="s">
        <v>198</v>
      </c>
    </row>
    <row r="10" customFormat="false" ht="30" hidden="false" customHeight="true" outlineLevel="0" collapsed="false">
      <c r="A10" s="41" t="n">
        <v>6</v>
      </c>
      <c r="B10" s="21" t="s">
        <v>199</v>
      </c>
      <c r="C10" s="22" t="s">
        <v>200</v>
      </c>
      <c r="D10" s="21" t="s">
        <v>201</v>
      </c>
    </row>
    <row r="11" customFormat="false" ht="30" hidden="false" customHeight="true" outlineLevel="0" collapsed="false">
      <c r="A11" s="28" t="n">
        <v>7</v>
      </c>
      <c r="B11" s="17" t="s">
        <v>202</v>
      </c>
      <c r="C11" s="18" t="s">
        <v>203</v>
      </c>
      <c r="D11" s="17" t="s">
        <v>204</v>
      </c>
    </row>
    <row r="12" customFormat="false" ht="30" hidden="false" customHeight="true" outlineLevel="0" collapsed="false">
      <c r="A12" s="41" t="n">
        <v>8</v>
      </c>
      <c r="B12" s="21" t="s">
        <v>205</v>
      </c>
      <c r="C12" s="22" t="s">
        <v>206</v>
      </c>
      <c r="D12" s="21" t="s">
        <v>207</v>
      </c>
    </row>
    <row r="13" customFormat="false" ht="30" hidden="false" customHeight="true" outlineLevel="0" collapsed="false">
      <c r="A13" s="28" t="n">
        <v>9</v>
      </c>
      <c r="B13" s="17" t="s">
        <v>208</v>
      </c>
      <c r="C13" s="18" t="s">
        <v>209</v>
      </c>
      <c r="D13" s="17" t="s">
        <v>210</v>
      </c>
    </row>
    <row r="14" customFormat="false" ht="30" hidden="false" customHeight="true" outlineLevel="0" collapsed="false">
      <c r="A14" s="41" t="n">
        <v>10</v>
      </c>
      <c r="B14" s="21" t="s">
        <v>211</v>
      </c>
      <c r="C14" s="22" t="s">
        <v>212</v>
      </c>
      <c r="D14" s="21" t="s">
        <v>213</v>
      </c>
    </row>
    <row r="15" customFormat="false" ht="30" hidden="false" customHeight="true" outlineLevel="0" collapsed="false">
      <c r="A15" s="28" t="n">
        <v>11</v>
      </c>
      <c r="B15" s="17" t="s">
        <v>214</v>
      </c>
      <c r="C15" s="18" t="s">
        <v>215</v>
      </c>
      <c r="D15" s="17" t="s">
        <v>216</v>
      </c>
    </row>
    <row r="16" customFormat="false" ht="30" hidden="false" customHeight="true" outlineLevel="0" collapsed="false">
      <c r="A16" s="41" t="n">
        <v>12</v>
      </c>
      <c r="B16" s="21" t="s">
        <v>217</v>
      </c>
      <c r="C16" s="22" t="s">
        <v>218</v>
      </c>
      <c r="D16" s="21" t="s">
        <v>219</v>
      </c>
    </row>
    <row r="19" customFormat="false" ht="15" hidden="false" customHeight="true" outlineLevel="0" collapsed="false">
      <c r="B19" s="36" t="s">
        <v>220</v>
      </c>
    </row>
    <row r="20" customFormat="false" ht="27.75" hidden="false" customHeight="true" outlineLevel="0" collapsed="false">
      <c r="B20" s="4" t="s">
        <v>221</v>
      </c>
      <c r="C20" s="42" t="s">
        <v>222</v>
      </c>
      <c r="D20" s="42"/>
    </row>
    <row r="21" customFormat="false" ht="27.75" hidden="false" customHeight="true" outlineLevel="0" collapsed="false">
      <c r="B21" s="4" t="s">
        <v>221</v>
      </c>
      <c r="C21" s="42" t="s">
        <v>223</v>
      </c>
      <c r="D21" s="42"/>
    </row>
    <row r="22" customFormat="false" ht="27.75" hidden="false" customHeight="true" outlineLevel="0" collapsed="false">
      <c r="B22" s="4" t="s">
        <v>221</v>
      </c>
      <c r="C22" s="42" t="s">
        <v>224</v>
      </c>
      <c r="D22" s="42"/>
    </row>
    <row r="23" customFormat="false" ht="27.75" hidden="false" customHeight="true" outlineLevel="0" collapsed="false">
      <c r="B23" s="4" t="s">
        <v>221</v>
      </c>
      <c r="C23" s="42" t="s">
        <v>225</v>
      </c>
      <c r="D23" s="42"/>
    </row>
    <row r="24" customFormat="false" ht="27.75" hidden="false" customHeight="true" outlineLevel="0" collapsed="false">
      <c r="B24" s="4" t="s">
        <v>221</v>
      </c>
      <c r="C24" s="42" t="s">
        <v>226</v>
      </c>
      <c r="D24" s="42"/>
    </row>
    <row r="25" customFormat="false" ht="27.75" hidden="false" customHeight="true" outlineLevel="0" collapsed="false">
      <c r="B25" s="4" t="s">
        <v>221</v>
      </c>
      <c r="C25" s="42" t="s">
        <v>227</v>
      </c>
      <c r="D25" s="42"/>
    </row>
  </sheetData>
  <mergeCells count="6">
    <mergeCell ref="C20:D20"/>
    <mergeCell ref="C21:D21"/>
    <mergeCell ref="C22:D22"/>
    <mergeCell ref="C23:D23"/>
    <mergeCell ref="C24:D24"/>
    <mergeCell ref="C25:D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2026-08-24T04:59:15Z</dcterms:created>
  <dc:creator>openpyxl</dc:creator>
  <dc:description/>
  <dc:language>en-US</dc:language>
  <cp:lastModifiedBy/>
  <dcterms:modified xsi:type="dcterms:W3CDTF">2026-08-24T05:09:02Z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